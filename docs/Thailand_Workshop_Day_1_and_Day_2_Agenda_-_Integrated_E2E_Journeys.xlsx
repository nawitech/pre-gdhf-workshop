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op Overview" sheetId="1" r:id="rId5"/>
    <sheet state="visible" name="Day 1 Agenda" sheetId="2" r:id="rId6"/>
    <sheet state="visible" name="Day 2 Agenda" sheetId="3" r:id="rId7"/>
    <sheet state="visible" name="Deliverables &amp; Governance" sheetId="4" r:id="rId8"/>
  </sheets>
  <definedNames/>
  <calcPr/>
</workbook>
</file>

<file path=xl/sharedStrings.xml><?xml version="1.0" encoding="utf-8"?>
<sst xmlns="http://schemas.openxmlformats.org/spreadsheetml/2006/main" count="484" uniqueCount="358">
  <si>
    <t>THAILAND WORKSHOP • DELIVERABLES, TECHNICAL ARTIFACTS &amp; POLICY GOVERNANCE REGISTER</t>
  </si>
  <si>
    <t>THAILAND WORKSHOP • DAY 2 AGENDA: OUTBOUND TRAVEL (J4), PROJECTATHON PRACTICUM (J5) &amp; JOINT DEMO</t>
  </si>
  <si>
    <t>THAILAND WORKSHOP • DAY 1 AGENDA: FOUNDATIONS, DATA MAPPING &amp; EARLY JOURNEYS (J1 - J3)</t>
  </si>
  <si>
    <t>Integrated Register: Technical Specifications, FHIR Profiles, Policy Accords, and Projectathon Test Acceptance Criteria for J1 through J5</t>
  </si>
  <si>
    <t>Schedule: Day 2 (09:00 - 17:00) • Venue: Bangkok Grand Ballroom, Sandbox Stations 1-3 &amp; Policy Chamber • Focus: Verifiable Health Links, Projectathon Testing &amp; Multi-Country Interoperability</t>
  </si>
  <si>
    <t>THAILAND DIGITAL HEALTH WORKSHOP • END-TO-END REGIONAL USER JOURNEYS (J1 - J5)</t>
  </si>
  <si>
    <t>Schedule: Day 1 (09:00 - 17:00) • Venue: Bangkok Grand Ballroom &amp; Breakout Wings A &amp; B • Focus: Cross-Border Newborns, Community Health Worker Discovery &amp; Clinical Verification</t>
  </si>
  <si>
    <t>Deliverable ID</t>
  </si>
  <si>
    <t>Journey Ref</t>
  </si>
  <si>
    <t>Workstream Track</t>
  </si>
  <si>
    <t>Time Block</t>
  </si>
  <si>
    <t>Deliverable Title &amp; Technical Scope</t>
  </si>
  <si>
    <t>Duration</t>
  </si>
  <si>
    <t>Standard / Legal Instrument</t>
  </si>
  <si>
    <t>Acceptance Criteria &amp; Artifact Proof</t>
  </si>
  <si>
    <t>Lead Country / Workstream</t>
  </si>
  <si>
    <t>Master Architecture, Plenary Anchors, Parallel Breakout Tracks (Technical &amp; Policy), and Governance Integration Framework</t>
  </si>
  <si>
    <t>Governance Status</t>
  </si>
  <si>
    <t>Session Format</t>
  </si>
  <si>
    <t>Plenary Anchor &amp; Joint Scope</t>
  </si>
  <si>
    <t>Target Milestone</t>
  </si>
  <si>
    <t>Technical Breakout (Room A / Testing)</t>
  </si>
  <si>
    <t>Technical Guiding Questions</t>
  </si>
  <si>
    <t>Comments</t>
  </si>
  <si>
    <t>Policy &amp; Governance Breakout (Room B)</t>
  </si>
  <si>
    <t>Technical Breakout (Room A)</t>
  </si>
  <si>
    <t>DEL-01</t>
  </si>
  <si>
    <t>Policy Guiding Questions</t>
  </si>
  <si>
    <t>TOTAL SESSIONS</t>
  </si>
  <si>
    <t>Session Output / Deliverable</t>
  </si>
  <si>
    <t>Execution Status</t>
  </si>
  <si>
    <t>09:00 - 09:30</t>
  </si>
  <si>
    <t>Journey J1</t>
  </si>
  <si>
    <t>08:30 - 09:30</t>
  </si>
  <si>
    <t>30 min</t>
  </si>
  <si>
    <t>Technical Track</t>
  </si>
  <si>
    <t>Framing</t>
  </si>
  <si>
    <t>Plenary Session</t>
  </si>
  <si>
    <t>FHIR Patient &amp; Immunization Core Profiles for Newborns</t>
  </si>
  <si>
    <t>Day 2 Opening &amp; Outbound Family Travel Framing (J4.0 / J4.1)</t>
  </si>
  <si>
    <t>HL7 FHIR R4, WHO DDCC Core Profiles</t>
  </si>
  <si>
    <t>All Participants in Grand Ballroom</t>
  </si>
  <si>
    <t>Profiles validate newborn demographics, birth dose antigens (Hep B, BCG, OPV), and maternal linkage extensions</t>
  </si>
  <si>
    <t>PROGRAMMED HOURS</t>
  </si>
  <si>
    <t>Technical Track (Thailand / WHO)</t>
  </si>
  <si>
    <t>How does mobile VHL architecture decouple secure credential storage from cross-border point-of-care verification?</t>
  </si>
  <si>
    <t>What legal frameworks govern shared family mobile credentials and dependent data sovereignty?</t>
  </si>
  <si>
    <t>Day 2 Interoperability Goals &amp; Testing Ground Rules</t>
  </si>
  <si>
    <t>Workshop Opening &amp; E2E User Journey Framing (J1 - J5)</t>
  </si>
  <si>
    <t>JOURNEYS COVERED</t>
  </si>
  <si>
    <t>How do end-to-end user journeys connect community, clinic, and national health architectures across ASEAN?</t>
  </si>
  <si>
    <t>TRACK DELIVERABLES</t>
  </si>
  <si>
    <t>What are the shared governance principles and legal prerequisites for regional interoperability?</t>
  </si>
  <si>
    <t>Workshop Roadmap &amp; Cross-Track Collaboration Charter</t>
  </si>
  <si>
    <t>Scheduled</t>
  </si>
  <si>
    <t>Under Review</t>
  </si>
  <si>
    <t>Day 1 Session 2 (10:30)</t>
  </si>
  <si>
    <t>09:30 - 10:45</t>
  </si>
  <si>
    <t>DEL-02</t>
  </si>
  <si>
    <t>09:30 - 10:30</t>
  </si>
  <si>
    <t>75 min</t>
  </si>
  <si>
    <t>60 min</t>
  </si>
  <si>
    <t>Journey J4</t>
  </si>
  <si>
    <t>Plenary &amp; Breakouts</t>
  </si>
  <si>
    <t>Digital Vaccine Certificate (DVC) QR Payload Specification</t>
  </si>
  <si>
    <t>J4 Walkthrough: Outbound Family Travel &amp; "One Family, One Phone" VHL (15m Plenary intro)</t>
  </si>
  <si>
    <t>SMART Health Cards / W3C Verifiable Credentials</t>
  </si>
  <si>
    <t>Tech Breakout (60m): Multi-Profile Mobile VHL, OHS Player Config &amp; Mock VHL Issuer Endpoint</t>
  </si>
  <si>
    <t>Binary and JSON schema definition supporting signed 2D barcode printing with minimal edge footprint</t>
  </si>
  <si>
    <t>J1 Walkthrough: Cross-Border Birth &amp; Initial DVC Issuance (15m Plenary intro)</t>
  </si>
  <si>
    <t>Technical Track (WHO / Malaysia)</t>
  </si>
  <si>
    <t>Multi-profile mobile management in OHS Player; VHL issuer mock service; AuditEvent logging at Info Gateway; passcode decryption and verification via shared library.</t>
  </si>
  <si>
    <t>Policy Breakout (60m): Minor/Dependent Consent, Data Retention, VHL Expiration &amp; Legal Audits</t>
  </si>
  <si>
    <t>National portal access &amp; identity verification; consent to share minor/dependent records; link lifetime &amp; data retention; legal basis for cross-border access; audit trail governance.</t>
  </si>
  <si>
    <t>In Development</t>
  </si>
  <si>
    <t>Tech Breakout (45m): FHIR Patient &amp; Immunization Modeling, QR Payload Mapping (SHC / DDCC) &amp; PKI Trust Setup</t>
  </si>
  <si>
    <t>VHL Multi-Record Architecture &amp; Cross-Border Consent Governance Charter</t>
  </si>
  <si>
    <t>QR code generation/printing vs smartphone; mapping source vax data to FHIR/DVC standards; PKI trust list governance for dev/test; code system translation.</t>
  </si>
  <si>
    <t>DEL-03</t>
  </si>
  <si>
    <t>Policy Breakout (45m): Legal Recognition of Foreign DVCs, Schedule Alignment &amp; CRVS Birth Notification</t>
  </si>
  <si>
    <t>Policy Track</t>
  </si>
  <si>
    <t>Birth dose schedule differences across borders; applicable vaccine code systems; CRVS &amp; birth notification abroad; legal recognition of routine DVC from Country A in Country B without bilateral agreement.</t>
  </si>
  <si>
    <t>Cross-Border Routine DVC Recognition Guideline</t>
  </si>
  <si>
    <t>10:45 - 11:00</t>
  </si>
  <si>
    <t>J1 FHIR Mapping Model &amp; Cross-Border DVC Acceptance Guideline</t>
  </si>
  <si>
    <t>Regional Health Legal Framework</t>
  </si>
  <si>
    <t>Guideline detailing sovereign recognition criteria of routine foreign immunization records without bilateral treaties</t>
  </si>
  <si>
    <t>Policy Track (Thailand MOPH)</t>
  </si>
  <si>
    <t>15 min</t>
  </si>
  <si>
    <t>DEL-04</t>
  </si>
  <si>
    <t>10:30 - 10:45</t>
  </si>
  <si>
    <t>Intermission</t>
  </si>
  <si>
    <t>CRVS &amp; Foreign Birth Notification Policy Brief</t>
  </si>
  <si>
    <t>Civil Registration &amp; Vital Statistics (CRVS) Accords</t>
  </si>
  <si>
    <t>Health Break</t>
  </si>
  <si>
    <t>Policy model for cross-border consular and health facility notification of births to domestic registries</t>
  </si>
  <si>
    <t>Policy Track (Lao PDR / Cambodia)</t>
  </si>
  <si>
    <t>Morning Refreshments &amp; Projectathon Sandbox Station Transition</t>
  </si>
  <si>
    <t>Draft Proposed</t>
  </si>
  <si>
    <t>Grand Foyer Refreshments &amp; Sandbox Station Staging</t>
  </si>
  <si>
    <t>DEL-05</t>
  </si>
  <si>
    <t>N/A - Testing Environment Verification</t>
  </si>
  <si>
    <t>Journey J2</t>
  </si>
  <si>
    <t>Grand Foyer Refreshments &amp; Policy Roundtable Prep</t>
  </si>
  <si>
    <t>N/A - Discussion Group Preparation</t>
  </si>
  <si>
    <t>Informal Networking &amp; System Staging</t>
  </si>
  <si>
    <t>Offline-First Android CHW App Configuration (OHS Player)</t>
  </si>
  <si>
    <t>Morning Networking &amp; Refreshments Break</t>
  </si>
  <si>
    <t>OHS Player, Android Jetpack, FHIR SQLite</t>
  </si>
  <si>
    <t>Configured client app capable of scanning paper DVC QR offline, parsing payload, and storing local records</t>
  </si>
  <si>
    <t>Technical Track (Lao PDR / WHO)</t>
  </si>
  <si>
    <t>Grand Foyer Refreshments &amp; Technical Setup Check</t>
  </si>
  <si>
    <t>11:00 - 12:30</t>
  </si>
  <si>
    <t>90 min</t>
  </si>
  <si>
    <t>N/A - Technical Preparation</t>
  </si>
  <si>
    <t>Day 1 Session 4 (12:00)</t>
  </si>
  <si>
    <t>Journey J5</t>
  </si>
  <si>
    <t>Grand Foyer Refreshments &amp; Policy Networking</t>
  </si>
  <si>
    <t>Testing &amp; Policy Tracks</t>
  </si>
  <si>
    <t>DEL-06</t>
  </si>
  <si>
    <t>N/A - Informal Dialogue</t>
  </si>
  <si>
    <t>Projectathon Practicum - Exchange Testing Part 1 (Stations 1 &amp; 2)</t>
  </si>
  <si>
    <t>Tech Track: Station 1 (Source Schema to FHIR Transformation) &amp; Station 2 (Read/Write REST API Transactions)</t>
  </si>
  <si>
    <t>FHIR ServiceRequest Referral Workflow Definition</t>
  </si>
  <si>
    <t>Executing FHIR mapping pipelines, testing REST API endpoints between country nodes (TH, ID, MY, LA, KH), verifying HTTP status codes and schema conformance.</t>
  </si>
  <si>
    <t>HL7 FHIR R4 ServiceRequest, Task</t>
  </si>
  <si>
    <t>Policy Track: Country Implementation Readiness Assessment &amp; Institutional Governance Checklists</t>
  </si>
  <si>
    <t>Standardized referral payload generated by CHW for local clinic triage with embedded immunization metadata</t>
  </si>
  <si>
    <t>Evaluating national readiness checklists, legal mandates for digital health interoperability, institutional governance for regional trust lists.</t>
  </si>
  <si>
    <t>Technical Track (Cambodia / Indonesia)</t>
  </si>
  <si>
    <t>Projectathon Exchange Test Log (Stations 1 &amp; 2) &amp; Country Readiness Scorecards</t>
  </si>
  <si>
    <t>12:30 - 13:30</t>
  </si>
  <si>
    <t>DEL-07</t>
  </si>
  <si>
    <t>Informal Networking &amp; System Readiness Check</t>
  </si>
  <si>
    <t>Meal Break</t>
  </si>
  <si>
    <t>Networking Luncheon &amp; Sandbox Debugging Pods</t>
  </si>
  <si>
    <t>CHW Scope of Practice &amp; Foreign Record Protocol</t>
  </si>
  <si>
    <t>Dining Pavilion &amp; Country Debugging Pods</t>
  </si>
  <si>
    <t>National Primary Healthcare Directives</t>
  </si>
  <si>
    <t>N/A - Peer Networking &amp; Ad-hoc Debugging</t>
  </si>
  <si>
    <t>Standard Operating Procedure defining legal limits for CHWs logging unverified foreign health data</t>
  </si>
  <si>
    <t>Dining Pavilion &amp; Bilateral Discussion Pods</t>
  </si>
  <si>
    <t>N/A - Bilateral Policy Dialogues</t>
  </si>
  <si>
    <t>Policy Track (Cambodia / Lao PDR)</t>
  </si>
  <si>
    <t>Country Bilateral Exchanges</t>
  </si>
  <si>
    <t>10:45 - 12:00</t>
  </si>
  <si>
    <t>13:30 - 15:00</t>
  </si>
  <si>
    <t>DEL-08</t>
  </si>
  <si>
    <t>Journey J3</t>
  </si>
  <si>
    <t>J2 Walkthrough: Household CHW Discovery &amp; Offline Clinic Referral (15m Plenary intro)</t>
  </si>
  <si>
    <t>Projectathon Practicum - Advanced Interoperability &amp; Extensions (Station 3)</t>
  </si>
  <si>
    <t>Kotlin Multiplatform Cryptographic Verification Library</t>
  </si>
  <si>
    <t>Kotlin Multiplatform, ECDSA P-256 / RSA</t>
  </si>
  <si>
    <t>Tech Track: Station 3 (Interoperability Checks &amp; WHO-ITB / ICVP Test Suite Execution)</t>
  </si>
  <si>
    <t>Tech Breakout (60m): Offline Android CHW App (OHS Player), QR Reader Component &amp; ServiceRequest FHIR Referral</t>
  </si>
  <si>
    <t>Cross-platform library (Android, iOS, Web) validating DVC digital signatures against regional trust list</t>
  </si>
  <si>
    <t>Running WHO-ITB (Gazelle) test suites, executing International Certificate of Vaccination or Prophylaxis (ICVP) test assertions, end-to-end payload signing.</t>
  </si>
  <si>
    <t>Technical Track (Thailand NDHP / MY)</t>
  </si>
  <si>
    <t>Offline-first Android CHW app; OHS Player QR reader component (payload decoding without signature verification at edge); facility registry for referrals via ServiceRequest.</t>
  </si>
  <si>
    <t>Policy Track: Sustained Regional Capacity, Trust Frameworks &amp; ASEAN Policy Roadmap</t>
  </si>
  <si>
    <t>Policy Breakout (60m): CHW Scope of Practice, Unverified Foreign Record Handling &amp; Code Mapping</t>
  </si>
  <si>
    <t>Formulating 24-month regional interoperability roadmap, establishing regional digital trust council, harmonizing terminology governance across ASEAN.</t>
  </si>
  <si>
    <t>Day 1 Session 6 (14:30)</t>
  </si>
  <si>
    <t>Cross-border vaccine code mapping; linkage to CRVS; policy for CHWs acting/referring on unverified foreign records before clinical verification.</t>
  </si>
  <si>
    <t>Validated WHO-ITB Test Assertions &amp; ASEAN Regional Policy Roadmap Draft</t>
  </si>
  <si>
    <t>DEL-09</t>
  </si>
  <si>
    <t>Offline CHW Referral Specification &amp; CHW Cross-Border Field Protocol</t>
  </si>
  <si>
    <t>15:00 - 15:15</t>
  </si>
  <si>
    <t>FHIR PlanDefinition Schedule Evaluation Ruleset</t>
  </si>
  <si>
    <t>HL7 FHIR R4 PlanDefinition, FHIRPath</t>
  </si>
  <si>
    <t>12:00 - 13:00</t>
  </si>
  <si>
    <t>Rule engine evaluating domestic national immunization schedules against ingested foreign vaccine history</t>
  </si>
  <si>
    <t>Technical Track (Malaysia MOH)</t>
  </si>
  <si>
    <t>Afternoon Refreshments &amp; Demonstration Assembly Staging</t>
  </si>
  <si>
    <t>Grand Foyer Refreshments</t>
  </si>
  <si>
    <t>N/A - Demo Rehearsal Setup</t>
  </si>
  <si>
    <t>DEL-10</t>
  </si>
  <si>
    <t>Networking Luncheon &amp; Multi-Country Team Sync</t>
  </si>
  <si>
    <t>N/A - Policy Debrief Prep</t>
  </si>
  <si>
    <t>Informal Networking</t>
  </si>
  <si>
    <t>Dining Pavilion &amp; Country Team Pods</t>
  </si>
  <si>
    <t>Regional Trust-List Key Governance Protocol</t>
  </si>
  <si>
    <t>N/A - Team Coordination</t>
  </si>
  <si>
    <t>PKI Governance, Trust-List Framework</t>
  </si>
  <si>
    <t>15:15 - 16:00</t>
  </si>
  <si>
    <t>Key rotation, revocation, and mutual root authority recognition guidelines among ASEAN member states</t>
  </si>
  <si>
    <t>45 min</t>
  </si>
  <si>
    <t>Policy Track (Regional Steering)</t>
  </si>
  <si>
    <t>Assembly</t>
  </si>
  <si>
    <t>Cross-Country Alignment &amp; Bilateral Sync</t>
  </si>
  <si>
    <t>Demonstration Assembly: End-to-End System Integration Rehearsal (J1 through J5)</t>
  </si>
  <si>
    <t>DEL-11</t>
  </si>
  <si>
    <t>Tech Leads &amp; Developers: Live Dry-Run of Cross-Border Data Flow (J1 Birth to J4 Travel to J5 Verification)</t>
  </si>
  <si>
    <t>J1 - J3 Synthesis</t>
  </si>
  <si>
    <t>13:00 - 14:30</t>
  </si>
  <si>
    <t>Verifying cross-border transaction latency, QR payload parsing on physical devices, and fallback offline synchronization.</t>
  </si>
  <si>
    <t>Policy Leads &amp; Directors: Review of Harmonized Policy Statements &amp; Interoperability Declaration</t>
  </si>
  <si>
    <t>ConceptMap &amp; StructureMap Regional Data Transformation Suite</t>
  </si>
  <si>
    <t>HL7 FHIR Mapping Language (FML), ConceptMap</t>
  </si>
  <si>
    <t>Aligning ministerial briefing points, review of cross-border data privacy consensus language.</t>
  </si>
  <si>
    <t>Verified End-to-End Live Rehearsal &amp; Polished Plenary Slide Deck</t>
  </si>
  <si>
    <t>Automated transformation mappings converting source EHR schemas and local vaccine codes to FHIR DDCC</t>
  </si>
  <si>
    <t>Technical Track (Joint Country Techs)</t>
  </si>
  <si>
    <t>J3 Walkthrough: Cryptographic Trust, DVC Verification &amp; Clinic EMR Import (15m Plenary intro)</t>
  </si>
  <si>
    <t>16:00 - 17:00</t>
  </si>
  <si>
    <t>Tech Breakout (75m): Kotlin Verification Library, FHIR Provenance &amp; PlanDefinition Schedule Generation</t>
  </si>
  <si>
    <t>Day 1 Session 8 (16:00)</t>
  </si>
  <si>
    <t>Culmination</t>
  </si>
  <si>
    <t>OHS Player web/tablet EMR; verification via shared Kotlin multiplatform library; Provenance resource tagging; PlanDefinition/FHIRPath immunization schedule evaluation against domestic rules.</t>
  </si>
  <si>
    <t>DEL-12</t>
  </si>
  <si>
    <t>Joint Demonstration Plenary: Connected E2E Journey Showcase &amp; Policy Recommendations</t>
  </si>
  <si>
    <t>Policy Breakout (75m): Trust-List Key Governance, Code Adjudication &amp; Patient Consent Policies</t>
  </si>
  <si>
    <t>All Delegations: Live Demonstration of Connected Health Journeys J1 - J5 across Member States</t>
  </si>
  <si>
    <t>Adjudicating foreign vaccine codes with no equivalence map; trust-list governance (which authority keys clinic trusts); consent for appointment reminders.</t>
  </si>
  <si>
    <t>Verifiable Health Link (VHL) Mock Issuer &amp; Decoder Endpoint</t>
  </si>
  <si>
    <t>Live presentation of end-to-end interoperability proof-of-concept connecting national registries across ASEAN.</t>
  </si>
  <si>
    <t>SMART Health Links / VHL Core Spec</t>
  </si>
  <si>
    <t>Verified DVC Ingestion Pipeline &amp; National Trust-List Governance Matrix</t>
  </si>
  <si>
    <t>Delegation Leads &amp; WHO Representatives: High-Level Policy Recommendations &amp; Closing Communiqué</t>
  </si>
  <si>
    <t>Mock server emitting passcode-encrypted VHL QR codes and decoder validating multi-profile manifests</t>
  </si>
  <si>
    <t>Presentation of regional governance recommendations, ministerial adoption roadmap, and signed workshop declaration.</t>
  </si>
  <si>
    <t>Technical Track (Indonesia SatuSehat)</t>
  </si>
  <si>
    <t>Workshop Final Communiqué &amp; Regional Interoperability Adoption Roadmap</t>
  </si>
  <si>
    <t>14:30 - 14:45</t>
  </si>
  <si>
    <t>Day 2 Session 2 (10:45)</t>
  </si>
  <si>
    <t>DEL-13</t>
  </si>
  <si>
    <t>Afternoon Refreshments &amp; Workstream Transition</t>
  </si>
  <si>
    <t>Minor Dependent Data Sharing &amp; VHL Expiration Framework</t>
  </si>
  <si>
    <t>ASEAN Framework on Personal Data Protection</t>
  </si>
  <si>
    <t>Privacy safeguards, legal parental consent delegation, and strict link expiration/retention constraints</t>
  </si>
  <si>
    <t>N/A - Technical Setup</t>
  </si>
  <si>
    <t>Policy Track (Indonesia Kemenkes)</t>
  </si>
  <si>
    <t>N/A - Policy Exchange</t>
  </si>
  <si>
    <t>DEL-14</t>
  </si>
  <si>
    <t>14:45 - 16:00</t>
  </si>
  <si>
    <t>Projectathon Test Assertion Matrix &amp; REST API Verification Log</t>
  </si>
  <si>
    <t>WHO-ITB (Gazelle), Postman Collections</t>
  </si>
  <si>
    <t>Executed test logs demonstrating successful FHIR validation and REST API exchanges across all 5 nations</t>
  </si>
  <si>
    <t>Technical Track (All Member States)</t>
  </si>
  <si>
    <t>Parallel Breakouts</t>
  </si>
  <si>
    <t>Deep Dive: Data Transformation, Schemas &amp; Regional Interoperability Accords</t>
  </si>
  <si>
    <t>Day 2 Session 6 (15:00)</t>
  </si>
  <si>
    <t>Tech Deep Dive: StructureMap Execution, Validator Runs &amp; Discrepancy Repair</t>
  </si>
  <si>
    <t>DEL-15</t>
  </si>
  <si>
    <t>Executing ConceptMap &amp; StructureMap pipelines, running CLI validators, debugging JSON payload validation errors across country schemas.</t>
  </si>
  <si>
    <t>Policy Deep Dive: National Interoperability Governance &amp; Data Exchange Legal Agreements</t>
  </si>
  <si>
    <t>ASEAN Digital Health Interoperability Declaration &amp; Policy Roadmap</t>
  </si>
  <si>
    <t>Regional Ministerial Declaration</t>
  </si>
  <si>
    <t>Cross-border health data exchange treaties, trust frameworks, patient privacy guarantees under PDPA/GDPR equivalents.</t>
  </si>
  <si>
    <t>Multilateral communique setting 24-month roadmap for cross-border digital health trust list operations</t>
  </si>
  <si>
    <t>Validated J1-J3 ConceptMaps &amp; Bilateral Data Exchange Framework Draft</t>
  </si>
  <si>
    <t>Policy Track (All Delegation Leads)</t>
  </si>
  <si>
    <t>Day 2 Session 9 (17:00)</t>
  </si>
  <si>
    <t>DEL-16</t>
  </si>
  <si>
    <t>Day 1 Synthesis</t>
  </si>
  <si>
    <t>J1 - J5 Synthesis</t>
  </si>
  <si>
    <t>Joint Synthesis Plenary: Cross-Workstream Debrief &amp; Evidence Review for Journeys J1-J3</t>
  </si>
  <si>
    <t>End-to-End Live Demonstration System Script &amp; Architecture Package</t>
  </si>
  <si>
    <t>HL7 FHIR, DDCC, IPS, VHL, OHS Player</t>
  </si>
  <si>
    <t>Joint Review: Tech Lead Demos of Validated Data Pipelines &amp; Provenance Logs</t>
  </si>
  <si>
    <t>Unified script and recorded evidence trace of connected journey flow from J1 birth to J5 verification</t>
  </si>
  <si>
    <t>How do technical mappings resolve policy bottlenecks, and what policy constraints dictate API specifications?</t>
  </si>
  <si>
    <t>Joint Demonstration Team</t>
  </si>
  <si>
    <t>Joint Review: Presentation of Draft Governance Accords &amp; Multi-Country Consensus Points</t>
  </si>
  <si>
    <t>What legal obstacles remain unresolved for cross-border vaccine verification prior to Day 2 travel flows?</t>
  </si>
  <si>
    <t>Day 1 Consensus Summary &amp; Day 2 Readiness Sign-off</t>
  </si>
  <si>
    <t>2 Full Days (09:00 - 17:00)</t>
  </si>
  <si>
    <t>J1, J2, J3, J4 (J4.0/J4.1), J5</t>
  </si>
  <si>
    <t>1. END-TO-END JOURNEY ARCHITECTURE &amp; PARALLEL BREAKOUT TRACK MATRIX</t>
  </si>
  <si>
    <t>Journey ID</t>
  </si>
  <si>
    <t>Journey Name &amp; Focus</t>
  </si>
  <si>
    <t>Operational Real-World Scenario</t>
  </si>
  <si>
    <t>Plenary Anchor Session</t>
  </si>
  <si>
    <t>Technical Track Objectives</t>
  </si>
  <si>
    <t>Policy &amp; Governance Track Objectives</t>
  </si>
  <si>
    <t>Target Core Deliverable</t>
  </si>
  <si>
    <t>Lead Standards</t>
  </si>
  <si>
    <t>Journey J0</t>
  </si>
  <si>
    <t>FHIR, Interoperability, terminology level settings</t>
  </si>
  <si>
    <t>Cross-Border Birth &amp; Initial Vaccination</t>
  </si>
  <si>
    <t>Mother delivers abroad in Asia; receives routine newborn vaccines (Hep B, Polio); clinic issues signed paper Digital Vaccine Certificate (DVC) with QR code.</t>
  </si>
  <si>
    <t>Day 1 (09:30 - 09:45): E2E Walkthrough of Cross-Border Birth &amp; Initial DVC Issuance</t>
  </si>
  <si>
    <t>FHIR Patient &amp; Immunization modeling, QR payload encoding (SHC / DDCC), PKI trust list validation, schema mapping.</t>
  </si>
  <si>
    <t>Legal recognition of foreign DVCs, birth dose schedule alignment, CRVS birth notification abroad without bilateral treaties.</t>
  </si>
  <si>
    <t>Validated DVC QR payload format &amp; cross-border PKI trust model.</t>
  </si>
  <si>
    <t>WHO DDCC, FHIR R4, SMART Cards</t>
  </si>
  <si>
    <t>Return Home, CHW Discovery &amp; Referral</t>
  </si>
  <si>
    <t>Family returns home; Community Health Worker (CHW) discovers unregistered infant during home visit; logs offline QR metadata; creates clinic referral.</t>
  </si>
  <si>
    <t>Day 1 (10:45 - 11:00): Household CHW Discovery, Offline QR Reading &amp; Clinical Referral</t>
  </si>
  <si>
    <t>Offline-first Android CHW app (OHS Player), QR reading at edge without signature verification, ServiceRequest FHIR referral workflow.</t>
  </si>
  <si>
    <t>CHW legal scope of practice, handling unverified foreign records prior to clinic triage, cross-border vaccine code mapping.</t>
  </si>
  <si>
    <t>Offline CHW data sync protocol &amp; ServiceRequest referral specification.</t>
  </si>
  <si>
    <t>OHS Player (Android), FHIR ServiceRequest</t>
  </si>
  <si>
    <t>Clinic Verification &amp; Schedule Generation</t>
  </si>
  <si>
    <t>Family attends clinic referral with paper QR; provider cryptographically validates foreign DVC, imports immunization into domestic EHR, and evaluates schedule rules.</t>
  </si>
  <si>
    <t>Day 1 (13:00 - 13:15): Clinic Cryptographic Verification &amp; Clinical Schedule Generation</t>
  </si>
  <si>
    <t>Kotlin Multiplatform verification library, FHIR Provenance resource tagging, PlanDefinition/FHIRPath schedule evaluation against national rules.</t>
  </si>
  <si>
    <t>Trust-list key governance (national trusted anchors), adjudicating unmapped foreign vaccine codes, patient consent for automated reminders.</t>
  </si>
  <si>
    <t>Clinical verification algorithm &amp; domestic PlanDefinition ruleset.</t>
  </si>
  <si>
    <t>Kotlin Multiplatform, FHIR Provenance, PlanDefinition</t>
  </si>
  <si>
    <t>Outbound Family Travel ("One Family, One Phone")</t>
  </si>
  <si>
    <t>National portal issues portable health records (IPS &amp; DVCs) to shared family smartphone with passcode-protected Verifiable Health Link (VHL) QR code for point-of-care fetch.</t>
  </si>
  <si>
    <t>Day 2 (09:00 - 09:45): Outbound Travel, Multi-Profile Mobile VHL &amp; Point-of-Care Clinic Fetch</t>
  </si>
  <si>
    <t>Multi-profile device management in OHS Player, VHL Issuer mock service, AuditEvent logging, passcode decryption &amp; verification via shared library.</t>
  </si>
  <si>
    <t>Minor/dependent consent sharing, VHL link expiration &amp; retention limits, cross-border legal basis for data access, audit trail governance.</t>
  </si>
  <si>
    <t>Multi-record VHL configuration &amp; audit trail governance policy.</t>
  </si>
  <si>
    <t>Verifiable Health Links (VHL), IPS, AuditEvent</t>
  </si>
  <si>
    <t>Projectathon Practicum &amp; Joint Demonstration</t>
  </si>
  <si>
    <t>Multi-country teams execute end-to-end exchange testing across sandbox stations (FHIR validation, REST APIs, WHO-ITB test suites), concluding with plenary demonstration.</t>
  </si>
  <si>
    <t>Day 2 (11:00 - 17:00): Projectathon Exchange Testing, Rehearsal &amp; Joint Demonstration</t>
  </si>
  <si>
    <t>Hands-on FHIR mapping, StructureMap execution, FHIR Validator CLI runs, REST API transactions, WHO-ITB ICVP test suites.</t>
  </si>
  <si>
    <t>Country implementation readiness assessments, institutional interoperability governance, regional trust framework roadmap.</t>
  </si>
  <si>
    <t>Validated country interoperability test matrix &amp; joint policy declaration.</t>
  </si>
  <si>
    <t>HL7 FHIR R4, REST APIs, WHO-ITB Gazelle</t>
  </si>
  <si>
    <t>Synthesis Note: Each journey weaves Plenary alignment with specialized Technical (implementation) and Policy (governance) breakout tracks.</t>
  </si>
  <si>
    <t>2. REGIONAL PARTICIPATION &amp; COUNTRY ARCHITECTURE MATRIX</t>
  </si>
  <si>
    <t>Member State</t>
  </si>
  <si>
    <t>National Workshop Role</t>
  </si>
  <si>
    <t>Core Digital Health Systems &amp; Registries</t>
  </si>
  <si>
    <t>Key Journey Anchors</t>
  </si>
  <si>
    <t>Technical Implementation Focus</t>
  </si>
  <si>
    <t>Policy &amp; Governance Priority</t>
  </si>
  <si>
    <t>Delegation Lead / Agency</t>
  </si>
  <si>
    <t>Thailand (Host)</t>
  </si>
  <si>
    <t>Host Nation &amp; Regional Verification Anchor</t>
  </si>
  <si>
    <t>Mor Phrom Platform, MOPH Health Data Center (HDC), National Digital Health Platform (NDHP)</t>
  </si>
  <si>
    <t>J1, J3, J4, J5</t>
  </si>
  <si>
    <t>Kotlin Multiplatform verification library deployment, FHIR Terminology Server, Host Test Node</t>
  </si>
  <si>
    <t>Regional trust-list governance, cross-border consent framework, bilateral data accords</t>
  </si>
  <si>
    <t>Ministry of Public Health (MOPH)</t>
  </si>
  <si>
    <t>Indonesia</t>
  </si>
  <si>
    <t>Cross-Border Verification &amp; Mobile Node</t>
  </si>
  <si>
    <t>SatuSehat Platform, SATUSEHAT Mobile, PeduliLindungi Immunization Registry</t>
  </si>
  <si>
    <t>J1, J2, J4, J5</t>
  </si>
  <si>
    <t>SatuSehat FHIR API adapter, VHL Issuer mock endpoint, multi-profile mobile credentials</t>
  </si>
  <si>
    <t>Bilateral trust registry recognition, minor dependent consent &amp; data retention policy</t>
  </si>
  <si>
    <t>Ministry of Health (Kemenkes) / DTO</t>
  </si>
  <si>
    <t>Malaysia</t>
  </si>
  <si>
    <t>Interoperability Node &amp; Schedule Engine</t>
  </si>
  <si>
    <t>MyVAS (Vaccine Administration System), MySejahtera, MOH Health Information Exchange</t>
  </si>
  <si>
    <t>PlanDefinition immunization schedule engine, ConceptMap vaccine code translation, FHIR Provenance</t>
  </si>
  <si>
    <t>Clinical adjudication policy for foreign non-equivalent vaccine codes, key rotation protocols</t>
  </si>
  <si>
    <t>Ministry of Health Malaysia (MOH)</t>
  </si>
  <si>
    <t>Lao PDR</t>
  </si>
  <si>
    <t>Cross-Border Community Discovery &amp; Intake</t>
  </si>
  <si>
    <t>DHIS2 Immunization Tracker, National CRVS Registry, District Health Information System</t>
  </si>
  <si>
    <t>J1, J2, J3, J5</t>
  </si>
  <si>
    <t>Offline-first Android CHW application (OHS Player), edge QR metadata extraction, ServiceRequest sync</t>
  </si>
  <si>
    <t>CHW legal scope of practice for foreign record logging, cross-border borderland health accords</t>
  </si>
  <si>
    <t>Ministry of Health Lao PDR (DPC / DHP)</t>
  </si>
  <si>
    <t>Cambodia</t>
  </si>
  <si>
    <t>Community Discovery &amp; Referral Node</t>
  </si>
  <si>
    <t>CamLIS, National Immunization Program (NIP) Database, Community Health Information System</t>
  </si>
  <si>
    <t>J2, J3, J5</t>
  </si>
  <si>
    <t>Offline QR reader metadata extraction, clinic EMR FHIR ingestion, local terminology mapping</t>
  </si>
  <si>
    <t>CRVS birth notification integration, verification protocol for unverified maternal records</t>
  </si>
  <si>
    <t>Ministry of Health Cambodia (CDC / DIMS)</t>
  </si>
  <si>
    <t>Regional Synthesis: All 5 member states participate across technical hands-on testing stations and policy governance consensus tracks.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</si>
</sst>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3.0"/>
      <color rgb="FFFFFFFF"/>
      <name val="Roboto"/>
    </font>
    <font>
      <sz val="9.0"/>
      <color rgb="FFCCE7EC"/>
      <name val="Roboto"/>
    </font>
    <font>
      <b/>
      <sz val="9.0"/>
      <color rgb="FFFFFFFF"/>
      <name val="Roboto"/>
    </font>
    <font>
      <b/>
      <sz val="14.0"/>
      <color rgb="FFFFFFFF"/>
      <name val="Roboto"/>
    </font>
    <font>
      <b/>
      <sz val="9.0"/>
      <color rgb="FF006773"/>
      <name val="Roboto"/>
    </font>
    <font>
      <b/>
      <sz val="9.0"/>
      <color rgb="FF334A4E"/>
      <name val="Roboto"/>
    </font>
    <font>
      <sz val="9.0"/>
      <color rgb="FF171C1D"/>
      <name val="Roboto"/>
    </font>
    <font>
      <b/>
      <sz val="8.0"/>
      <color rgb="FF334A4E"/>
      <name val="Roboto"/>
    </font>
    <font/>
    <font>
      <b/>
      <sz val="18.0"/>
      <color rgb="FF006773"/>
      <name val="Roboto"/>
    </font>
    <font>
      <i/>
      <sz val="8.0"/>
      <color rgb="FF6F787B"/>
      <name val="Roboto"/>
    </font>
    <font>
      <b/>
      <sz val="11.0"/>
      <color rgb="FF006773"/>
      <name val="Roboto"/>
    </font>
    <font>
      <i/>
      <sz val="8.0"/>
      <color rgb="FF334A4E"/>
      <name val="Roboto"/>
    </font>
  </fonts>
  <fills count="9">
    <fill>
      <patternFill patternType="none"/>
    </fill>
    <fill>
      <patternFill patternType="lightGray"/>
    </fill>
    <fill>
      <patternFill patternType="solid">
        <fgColor rgb="FF006773"/>
        <bgColor rgb="FF006773"/>
      </patternFill>
    </fill>
    <fill>
      <patternFill patternType="solid">
        <fgColor rgb="FF004F57"/>
        <bgColor rgb="FF004F57"/>
      </patternFill>
    </fill>
    <fill>
      <patternFill patternType="solid">
        <fgColor rgb="FFFFFFFF"/>
        <bgColor rgb="FFFFFFFF"/>
      </patternFill>
    </fill>
    <fill>
      <patternFill patternType="solid">
        <fgColor rgb="FFF5FAFA"/>
        <bgColor rgb="FFF5FAFA"/>
      </patternFill>
    </fill>
    <fill>
      <patternFill patternType="solid">
        <fgColor rgb="FFEDEFF2"/>
        <bgColor rgb="FFEDEFF2"/>
      </patternFill>
    </fill>
    <fill>
      <patternFill patternType="solid">
        <fgColor rgb="FFCCE7EC"/>
        <bgColor rgb="FFCCE7EC"/>
      </patternFill>
    </fill>
    <fill>
      <patternFill patternType="solid">
        <fgColor rgb="FFE8EFF0"/>
        <bgColor rgb="FFE8EFF0"/>
      </patternFill>
    </fill>
  </fills>
  <borders count="5">
    <border/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CCE7EC"/>
      </left>
      <top style="thin">
        <color rgb="FFCCE7EC"/>
      </top>
      <bottom style="thin">
        <color rgb="FFCCE7EC"/>
      </bottom>
    </border>
    <border>
      <right style="thin">
        <color rgb="FFCCE7EC"/>
      </right>
      <top style="thin">
        <color rgb="FFCCE7EC"/>
      </top>
      <bottom style="thin">
        <color rgb="FFCCE7EC"/>
      </bottom>
    </border>
    <border>
      <top style="thin">
        <color rgb="FFCCE7EC"/>
      </top>
      <bottom style="thin">
        <color rgb="FFCCE7EC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center"/>
    </xf>
    <xf borderId="0" fillId="3" fontId="2" numFmtId="0" xfId="0" applyAlignment="1" applyFill="1" applyFont="1">
      <alignment horizontal="left" readingOrder="0" vertical="center"/>
    </xf>
    <xf borderId="0" fillId="2" fontId="3" numFmtId="0" xfId="0" applyAlignment="1" applyFill="1" applyFont="1">
      <alignment horizontal="center" readingOrder="0" shrinkToFit="0" vertical="center" wrapText="1"/>
    </xf>
    <xf borderId="0" fillId="2" fontId="4" numFmtId="0" xfId="0" applyAlignment="1" applyFill="1" applyFont="1">
      <alignment horizontal="left" readingOrder="0" vertical="center"/>
    </xf>
    <xf borderId="1" fillId="4" fontId="5" numFmtId="0" xfId="0" applyAlignment="1" applyBorder="1" applyFill="1" applyFont="1">
      <alignment horizontal="center" readingOrder="0" shrinkToFit="0" vertical="center" wrapText="1"/>
    </xf>
    <xf borderId="1" fillId="4" fontId="6" numFmtId="0" xfId="0" applyAlignment="1" applyBorder="1" applyFill="1" applyFont="1">
      <alignment horizontal="center" readingOrder="0" shrinkToFit="0" vertical="center" wrapText="1"/>
    </xf>
    <xf borderId="1" fillId="4" fontId="7" numFmtId="0" xfId="0" applyAlignment="1" applyBorder="1" applyFill="1" applyFont="1">
      <alignment horizontal="center" readingOrder="0" shrinkToFit="0" vertical="center" wrapText="1"/>
    </xf>
    <xf borderId="2" fillId="5" fontId="8" numFmtId="0" xfId="0" applyAlignment="1" applyBorder="1" applyFill="1" applyFont="1">
      <alignment horizontal="center" readingOrder="0" vertical="center"/>
    </xf>
    <xf borderId="1" fillId="4" fontId="7" numFmtId="0" xfId="0" applyAlignment="1" applyBorder="1" applyFill="1" applyFont="1">
      <alignment readingOrder="0" shrinkToFit="0" vertical="top" wrapText="1"/>
    </xf>
    <xf borderId="3" fillId="0" fontId="9" numFmtId="0" xfId="0" applyBorder="1" applyFont="1"/>
    <xf borderId="4" fillId="0" fontId="9" numFmtId="0" xfId="0" applyBorder="1" applyFont="1"/>
    <xf borderId="1" fillId="5" fontId="7" numFmtId="0" xfId="0" applyAlignment="1" applyBorder="1" applyFill="1" applyFont="1">
      <alignment horizontal="center" readingOrder="0" shrinkToFit="0" vertical="center" wrapText="1"/>
    </xf>
    <xf borderId="1" fillId="5" fontId="5" numFmtId="0" xfId="0" applyAlignment="1" applyBorder="1" applyFill="1" applyFont="1">
      <alignment horizontal="center" readingOrder="0" shrinkToFit="0" vertical="center" wrapText="1"/>
    </xf>
    <xf borderId="1" fillId="5" fontId="6" numFmtId="0" xfId="0" applyAlignment="1" applyBorder="1" applyFill="1" applyFont="1">
      <alignment horizontal="center" readingOrder="0" shrinkToFit="0" vertical="center" wrapText="1"/>
    </xf>
    <xf borderId="1" fillId="5" fontId="7" numFmtId="0" xfId="0" applyAlignment="1" applyBorder="1" applyFill="1" applyFont="1">
      <alignment readingOrder="0" shrinkToFit="0" vertical="top" wrapText="1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6" fontId="5" numFmtId="0" xfId="0" applyAlignment="1" applyBorder="1" applyFill="1" applyFont="1">
      <alignment horizontal="center" readingOrder="0" shrinkToFit="0" vertical="center" wrapText="1"/>
    </xf>
    <xf borderId="2" fillId="5" fontId="10" numFmtId="0" xfId="0" applyAlignment="1" applyBorder="1" applyFill="1" applyFont="1">
      <alignment horizontal="center" readingOrder="0" vertical="center"/>
    </xf>
    <xf borderId="1" fillId="6" fontId="7" numFmtId="0" xfId="0" applyAlignment="1" applyBorder="1" applyFill="1" applyFont="1">
      <alignment readingOrder="0" shrinkToFit="0" vertical="top" wrapText="1"/>
    </xf>
    <xf borderId="2" fillId="5" fontId="11" numFmtId="0" xfId="0" applyAlignment="1" applyBorder="1" applyFill="1" applyFont="1">
      <alignment horizontal="center" readingOrder="0" vertical="center"/>
    </xf>
    <xf borderId="0" fillId="7" fontId="12" numFmtId="0" xfId="0" applyAlignment="1" applyFill="1" applyFont="1">
      <alignment horizontal="left" readingOrder="0" vertical="center"/>
    </xf>
    <xf borderId="0" fillId="4" fontId="7" numFmtId="0" xfId="0" applyAlignment="1" applyFill="1" applyFont="1">
      <alignment readingOrder="0" shrinkToFit="0" vertical="top" wrapText="1"/>
    </xf>
    <xf borderId="0" fillId="8" fontId="13" numFmtId="0" xfId="0" applyAlignment="1" applyFill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16.38"/>
    <col customWidth="1" min="3" max="3" width="27.63"/>
    <col customWidth="1" min="4" max="4" width="35.13"/>
    <col customWidth="1" min="5" max="5" width="32.63"/>
    <col customWidth="1" min="6" max="7" width="35.13"/>
    <col customWidth="1" min="8" max="8" width="27.63"/>
    <col customWidth="1" min="9" max="9" width="20.13"/>
    <col customWidth="1" min="10" max="10" width="17.63"/>
  </cols>
  <sheetData>
    <row r="1" ht="18.75" customHeight="1"/>
    <row r="2" ht="27.0" customHeight="1">
      <c r="B2" s="4" t="s">
        <v>5</v>
      </c>
    </row>
    <row r="3" ht="19.5" customHeight="1">
      <c r="B3" s="2" t="s">
        <v>16</v>
      </c>
    </row>
    <row r="4">
      <c r="B4" s="8" t="s">
        <v>28</v>
      </c>
      <c r="C4" s="10"/>
      <c r="D4" s="8" t="s">
        <v>43</v>
      </c>
      <c r="E4" s="10"/>
      <c r="F4" s="8" t="s">
        <v>49</v>
      </c>
      <c r="G4" s="10"/>
      <c r="H4" s="8" t="s">
        <v>51</v>
      </c>
      <c r="I4" s="11"/>
      <c r="J4" s="10"/>
    </row>
    <row r="5">
      <c r="B5" s="18" t="str">
        <f>(COUNTA('Day 1 Agenda'!B5:B13) + COUNTA('Day 2 Agenda'!B5:B13)) &amp; " Sessions"</f>
        <v>18 Sessions</v>
      </c>
      <c r="C5" s="10"/>
      <c r="D5" s="18" t="str">
        <f>TEXT(SUM(30,60,15,75,60,90,15,75,60,30,75,15,90,60,90,15,45,60)/60, "0.0") &amp; " Hours"</f>
        <v>16.0 Hours</v>
      </c>
      <c r="E5" s="10"/>
      <c r="F5" s="18" t="str">
        <f>"5 of 5 (" &amp; TEXT(5/5, "0%") &amp; ")"</f>
        <v>5 of 5 (100%)</v>
      </c>
      <c r="G5" s="10"/>
      <c r="H5" s="18" t="str">
        <f>COUNTA('Deliverables &amp; Governance'!B5:B20) &amp; " Deliverables"</f>
        <v>16 Deliverables</v>
      </c>
      <c r="I5" s="11"/>
      <c r="J5" s="10"/>
    </row>
    <row r="6">
      <c r="B6" s="20" t="str">
        <f>COUNTA('Day 1 Agenda'!B5:B13) &amp; " Day 1 • " &amp; COUNTA('Day 2 Agenda'!B5:B13) &amp; " Day 2 Sessions"</f>
        <v>9 Day 1 • 9 Day 2 Sessions</v>
      </c>
      <c r="C6" s="10"/>
      <c r="D6" s="20" t="s">
        <v>266</v>
      </c>
      <c r="E6" s="10"/>
      <c r="F6" s="20" t="s">
        <v>267</v>
      </c>
      <c r="G6" s="10"/>
      <c r="H6" s="20" t="str">
        <f>COUNTIF('Deliverables &amp; Governance'!D5:D20, "*Technical*") &amp; " Technical • " &amp; COUNTIF('Deliverables &amp; Governance'!D5:D20, "*Policy*") &amp; " Policy Products"</f>
        <v>10 Technical • 6 Policy Products</v>
      </c>
      <c r="I6" s="11"/>
      <c r="J6" s="10"/>
    </row>
    <row r="8">
      <c r="B8" s="21" t="s">
        <v>268</v>
      </c>
    </row>
    <row r="9">
      <c r="B9" s="3" t="s">
        <v>269</v>
      </c>
      <c r="C9" s="3" t="s">
        <v>270</v>
      </c>
      <c r="D9" s="3" t="s">
        <v>271</v>
      </c>
      <c r="E9" s="3" t="s">
        <v>272</v>
      </c>
      <c r="F9" s="3" t="s">
        <v>273</v>
      </c>
      <c r="G9" s="3" t="s">
        <v>274</v>
      </c>
      <c r="H9" s="3" t="s">
        <v>275</v>
      </c>
      <c r="I9" s="3" t="s">
        <v>276</v>
      </c>
    </row>
    <row r="10">
      <c r="B10" s="22" t="s">
        <v>277</v>
      </c>
      <c r="C10" s="22" t="s">
        <v>278</v>
      </c>
      <c r="D10" s="22"/>
      <c r="E10" s="22"/>
      <c r="F10" s="22"/>
      <c r="G10" s="22"/>
      <c r="H10" s="22"/>
      <c r="I10" s="22"/>
    </row>
    <row r="11">
      <c r="B11" s="9" t="s">
        <v>32</v>
      </c>
      <c r="C11" s="9" t="s">
        <v>279</v>
      </c>
      <c r="D11" s="9" t="s">
        <v>280</v>
      </c>
      <c r="E11" s="9" t="s">
        <v>281</v>
      </c>
      <c r="F11" s="9" t="s">
        <v>282</v>
      </c>
      <c r="G11" s="9" t="s">
        <v>283</v>
      </c>
      <c r="H11" s="9" t="s">
        <v>284</v>
      </c>
      <c r="I11" s="9" t="s">
        <v>285</v>
      </c>
    </row>
    <row r="12">
      <c r="B12" s="15" t="s">
        <v>102</v>
      </c>
      <c r="C12" s="15" t="s">
        <v>286</v>
      </c>
      <c r="D12" s="15" t="s">
        <v>287</v>
      </c>
      <c r="E12" s="15" t="s">
        <v>288</v>
      </c>
      <c r="F12" s="15" t="s">
        <v>289</v>
      </c>
      <c r="G12" s="15" t="s">
        <v>290</v>
      </c>
      <c r="H12" s="15" t="s">
        <v>291</v>
      </c>
      <c r="I12" s="15" t="s">
        <v>292</v>
      </c>
    </row>
    <row r="13">
      <c r="B13" s="9" t="s">
        <v>148</v>
      </c>
      <c r="C13" s="9" t="s">
        <v>293</v>
      </c>
      <c r="D13" s="9" t="s">
        <v>294</v>
      </c>
      <c r="E13" s="9" t="s">
        <v>295</v>
      </c>
      <c r="F13" s="9" t="s">
        <v>296</v>
      </c>
      <c r="G13" s="9" t="s">
        <v>297</v>
      </c>
      <c r="H13" s="9" t="s">
        <v>298</v>
      </c>
      <c r="I13" s="9" t="s">
        <v>299</v>
      </c>
    </row>
    <row r="14">
      <c r="B14" s="15" t="s">
        <v>62</v>
      </c>
      <c r="C14" s="15" t="s">
        <v>300</v>
      </c>
      <c r="D14" s="15" t="s">
        <v>301</v>
      </c>
      <c r="E14" s="15" t="s">
        <v>302</v>
      </c>
      <c r="F14" s="15" t="s">
        <v>303</v>
      </c>
      <c r="G14" s="15" t="s">
        <v>304</v>
      </c>
      <c r="H14" s="15" t="s">
        <v>305</v>
      </c>
      <c r="I14" s="15" t="s">
        <v>306</v>
      </c>
    </row>
    <row r="15">
      <c r="B15" s="9" t="s">
        <v>116</v>
      </c>
      <c r="C15" s="9" t="s">
        <v>307</v>
      </c>
      <c r="D15" s="9" t="s">
        <v>308</v>
      </c>
      <c r="E15" s="9" t="s">
        <v>309</v>
      </c>
      <c r="F15" s="9" t="s">
        <v>310</v>
      </c>
      <c r="G15" s="9" t="s">
        <v>311</v>
      </c>
      <c r="H15" s="9" t="s">
        <v>312</v>
      </c>
      <c r="I15" s="9" t="s">
        <v>313</v>
      </c>
    </row>
    <row r="16">
      <c r="B16" s="23" t="s">
        <v>314</v>
      </c>
    </row>
    <row r="18">
      <c r="B18" s="21" t="s">
        <v>315</v>
      </c>
    </row>
    <row r="19">
      <c r="B19" s="3" t="s">
        <v>316</v>
      </c>
      <c r="C19" s="3" t="s">
        <v>317</v>
      </c>
      <c r="D19" s="3" t="s">
        <v>318</v>
      </c>
      <c r="E19" s="3" t="s">
        <v>319</v>
      </c>
      <c r="F19" s="3" t="s">
        <v>320</v>
      </c>
      <c r="G19" s="3" t="s">
        <v>321</v>
      </c>
      <c r="H19" s="3" t="s">
        <v>322</v>
      </c>
    </row>
    <row r="20">
      <c r="B20" s="9" t="s">
        <v>323</v>
      </c>
      <c r="C20" s="9" t="s">
        <v>324</v>
      </c>
      <c r="D20" s="9" t="s">
        <v>325</v>
      </c>
      <c r="E20" s="9" t="s">
        <v>326</v>
      </c>
      <c r="F20" s="9" t="s">
        <v>327</v>
      </c>
      <c r="G20" s="9" t="s">
        <v>328</v>
      </c>
      <c r="H20" s="9" t="s">
        <v>329</v>
      </c>
    </row>
    <row r="21">
      <c r="B21" s="15" t="s">
        <v>330</v>
      </c>
      <c r="C21" s="15" t="s">
        <v>331</v>
      </c>
      <c r="D21" s="15" t="s">
        <v>332</v>
      </c>
      <c r="E21" s="15" t="s">
        <v>333</v>
      </c>
      <c r="F21" s="15" t="s">
        <v>334</v>
      </c>
      <c r="G21" s="15" t="s">
        <v>335</v>
      </c>
      <c r="H21" s="15" t="s">
        <v>336</v>
      </c>
    </row>
    <row r="22">
      <c r="B22" s="9" t="s">
        <v>337</v>
      </c>
      <c r="C22" s="9" t="s">
        <v>338</v>
      </c>
      <c r="D22" s="9" t="s">
        <v>339</v>
      </c>
      <c r="E22" s="9" t="s">
        <v>326</v>
      </c>
      <c r="F22" s="9" t="s">
        <v>340</v>
      </c>
      <c r="G22" s="9" t="s">
        <v>341</v>
      </c>
      <c r="H22" s="9" t="s">
        <v>342</v>
      </c>
    </row>
    <row r="23">
      <c r="B23" s="15" t="s">
        <v>343</v>
      </c>
      <c r="C23" s="15" t="s">
        <v>344</v>
      </c>
      <c r="D23" s="15" t="s">
        <v>345</v>
      </c>
      <c r="E23" s="15" t="s">
        <v>346</v>
      </c>
      <c r="F23" s="15" t="s">
        <v>347</v>
      </c>
      <c r="G23" s="15" t="s">
        <v>348</v>
      </c>
      <c r="H23" s="15" t="s">
        <v>349</v>
      </c>
    </row>
    <row r="24">
      <c r="B24" s="9" t="s">
        <v>350</v>
      </c>
      <c r="C24" s="9" t="s">
        <v>351</v>
      </c>
      <c r="D24" s="9" t="s">
        <v>352</v>
      </c>
      <c r="E24" s="9" t="s">
        <v>353</v>
      </c>
      <c r="F24" s="9" t="s">
        <v>354</v>
      </c>
      <c r="G24" s="9" t="s">
        <v>355</v>
      </c>
      <c r="H24" s="9" t="s">
        <v>356</v>
      </c>
    </row>
    <row r="25">
      <c r="B25" s="23" t="s">
        <v>357</v>
      </c>
    </row>
  </sheetData>
  <mergeCells count="18">
    <mergeCell ref="B2:J2"/>
    <mergeCell ref="B3:J3"/>
    <mergeCell ref="B4:C4"/>
    <mergeCell ref="D4:E4"/>
    <mergeCell ref="F4:G4"/>
    <mergeCell ref="H4:J4"/>
    <mergeCell ref="B5:C5"/>
    <mergeCell ref="H5:J5"/>
    <mergeCell ref="B16:I16"/>
    <mergeCell ref="B18:H18"/>
    <mergeCell ref="B25:H25"/>
    <mergeCell ref="D5:E5"/>
    <mergeCell ref="F5:G5"/>
    <mergeCell ref="B6:C6"/>
    <mergeCell ref="D6:E6"/>
    <mergeCell ref="F6:G6"/>
    <mergeCell ref="H6:J6"/>
    <mergeCell ref="B8:I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3.88"/>
    <col customWidth="1" min="2" max="2" width="13.88"/>
    <col customWidth="1" min="3" max="3" width="10.13"/>
    <col customWidth="1" min="4" max="4" width="12.63"/>
    <col customWidth="1" min="5" max="5" width="16.38"/>
    <col customWidth="1" min="6" max="8" width="30.13"/>
    <col customWidth="1" min="9" max="9" width="32.63"/>
    <col customWidth="1" min="10" max="10" width="30.13"/>
    <col customWidth="1" min="11" max="11" width="32.63"/>
    <col customWidth="1" min="12" max="12" width="27.63"/>
    <col customWidth="1" min="13" max="13" width="15.13"/>
  </cols>
  <sheetData>
    <row r="2" ht="27.0" customHeight="1">
      <c r="B2" s="1" t="s">
        <v>2</v>
      </c>
    </row>
    <row r="3" ht="18.0" customHeight="1">
      <c r="B3" s="2" t="s">
        <v>6</v>
      </c>
    </row>
    <row r="4" ht="24.0" customHeight="1">
      <c r="B4" s="3" t="s">
        <v>10</v>
      </c>
      <c r="C4" s="3" t="s">
        <v>12</v>
      </c>
      <c r="D4" s="3" t="s">
        <v>8</v>
      </c>
      <c r="E4" s="3" t="s">
        <v>18</v>
      </c>
      <c r="F4" s="3" t="s">
        <v>19</v>
      </c>
      <c r="G4" s="3" t="s">
        <v>23</v>
      </c>
      <c r="H4" s="3" t="s">
        <v>25</v>
      </c>
      <c r="I4" s="3" t="s">
        <v>22</v>
      </c>
      <c r="J4" s="3" t="s">
        <v>24</v>
      </c>
      <c r="K4" s="3" t="s">
        <v>27</v>
      </c>
      <c r="L4" s="3" t="s">
        <v>29</v>
      </c>
      <c r="M4" s="3" t="s">
        <v>30</v>
      </c>
    </row>
    <row r="5">
      <c r="B5" s="7" t="s">
        <v>33</v>
      </c>
      <c r="C5" s="7" t="s">
        <v>34</v>
      </c>
      <c r="D5" s="5" t="s">
        <v>36</v>
      </c>
      <c r="E5" s="7" t="s">
        <v>37</v>
      </c>
      <c r="F5" s="9" t="s">
        <v>48</v>
      </c>
      <c r="G5" s="9"/>
      <c r="H5" s="9" t="s">
        <v>41</v>
      </c>
      <c r="I5" s="9" t="s">
        <v>50</v>
      </c>
      <c r="J5" s="9" t="s">
        <v>41</v>
      </c>
      <c r="K5" s="9" t="s">
        <v>52</v>
      </c>
      <c r="L5" s="9" t="s">
        <v>53</v>
      </c>
      <c r="M5" s="9" t="s">
        <v>54</v>
      </c>
    </row>
    <row r="6">
      <c r="B6" s="12" t="s">
        <v>59</v>
      </c>
      <c r="C6" s="12" t="s">
        <v>61</v>
      </c>
      <c r="D6" s="13" t="s">
        <v>32</v>
      </c>
      <c r="E6" s="12" t="s">
        <v>63</v>
      </c>
      <c r="F6" s="15" t="s">
        <v>69</v>
      </c>
      <c r="G6" s="15"/>
      <c r="H6" s="15" t="s">
        <v>75</v>
      </c>
      <c r="I6" s="15" t="s">
        <v>77</v>
      </c>
      <c r="J6" s="15" t="s">
        <v>79</v>
      </c>
      <c r="K6" s="15" t="s">
        <v>81</v>
      </c>
      <c r="L6" s="15" t="s">
        <v>84</v>
      </c>
      <c r="M6" s="15" t="s">
        <v>54</v>
      </c>
    </row>
    <row r="7">
      <c r="B7" s="16" t="s">
        <v>90</v>
      </c>
      <c r="C7" s="16" t="s">
        <v>88</v>
      </c>
      <c r="D7" s="17" t="s">
        <v>91</v>
      </c>
      <c r="E7" s="16" t="s">
        <v>94</v>
      </c>
      <c r="F7" s="19" t="s">
        <v>107</v>
      </c>
      <c r="G7" s="19"/>
      <c r="H7" s="19" t="s">
        <v>111</v>
      </c>
      <c r="I7" s="19" t="s">
        <v>114</v>
      </c>
      <c r="J7" s="19" t="s">
        <v>117</v>
      </c>
      <c r="K7" s="19" t="s">
        <v>120</v>
      </c>
      <c r="L7" s="19" t="s">
        <v>133</v>
      </c>
      <c r="M7" s="19" t="s">
        <v>54</v>
      </c>
    </row>
    <row r="8">
      <c r="B8" s="12" t="s">
        <v>145</v>
      </c>
      <c r="C8" s="12" t="s">
        <v>60</v>
      </c>
      <c r="D8" s="13" t="s">
        <v>102</v>
      </c>
      <c r="E8" s="12" t="s">
        <v>63</v>
      </c>
      <c r="F8" s="15" t="s">
        <v>149</v>
      </c>
      <c r="G8" s="15"/>
      <c r="H8" s="15" t="s">
        <v>154</v>
      </c>
      <c r="I8" s="15" t="s">
        <v>158</v>
      </c>
      <c r="J8" s="15" t="s">
        <v>160</v>
      </c>
      <c r="K8" s="15" t="s">
        <v>163</v>
      </c>
      <c r="L8" s="15" t="s">
        <v>166</v>
      </c>
      <c r="M8" s="15" t="s">
        <v>54</v>
      </c>
    </row>
    <row r="9">
      <c r="B9" s="16" t="s">
        <v>170</v>
      </c>
      <c r="C9" s="16" t="s">
        <v>61</v>
      </c>
      <c r="D9" s="17" t="s">
        <v>91</v>
      </c>
      <c r="E9" s="16" t="s">
        <v>134</v>
      </c>
      <c r="F9" s="19" t="s">
        <v>177</v>
      </c>
      <c r="G9" s="19"/>
      <c r="H9" s="19" t="s">
        <v>180</v>
      </c>
      <c r="I9" s="19" t="s">
        <v>182</v>
      </c>
      <c r="J9" s="19" t="s">
        <v>180</v>
      </c>
      <c r="K9" s="19" t="s">
        <v>182</v>
      </c>
      <c r="L9" s="19" t="s">
        <v>189</v>
      </c>
      <c r="M9" s="19" t="s">
        <v>54</v>
      </c>
    </row>
    <row r="10">
      <c r="B10" s="7" t="s">
        <v>194</v>
      </c>
      <c r="C10" s="7" t="s">
        <v>113</v>
      </c>
      <c r="D10" s="5" t="s">
        <v>148</v>
      </c>
      <c r="E10" s="7" t="s">
        <v>63</v>
      </c>
      <c r="F10" s="9" t="s">
        <v>203</v>
      </c>
      <c r="G10" s="9"/>
      <c r="H10" s="9" t="s">
        <v>205</v>
      </c>
      <c r="I10" s="9" t="s">
        <v>208</v>
      </c>
      <c r="J10" s="9" t="s">
        <v>211</v>
      </c>
      <c r="K10" s="9" t="s">
        <v>213</v>
      </c>
      <c r="L10" s="9" t="s">
        <v>217</v>
      </c>
      <c r="M10" s="9" t="s">
        <v>54</v>
      </c>
    </row>
    <row r="11">
      <c r="B11" s="16" t="s">
        <v>223</v>
      </c>
      <c r="C11" s="16" t="s">
        <v>88</v>
      </c>
      <c r="D11" s="17" t="s">
        <v>91</v>
      </c>
      <c r="E11" s="16" t="s">
        <v>94</v>
      </c>
      <c r="F11" s="19" t="s">
        <v>226</v>
      </c>
      <c r="G11" s="19"/>
      <c r="H11" s="19" t="s">
        <v>174</v>
      </c>
      <c r="I11" s="19" t="s">
        <v>230</v>
      </c>
      <c r="J11" s="19" t="s">
        <v>174</v>
      </c>
      <c r="K11" s="19" t="s">
        <v>232</v>
      </c>
      <c r="L11" s="19" t="s">
        <v>179</v>
      </c>
      <c r="M11" s="19" t="s">
        <v>54</v>
      </c>
    </row>
    <row r="12">
      <c r="B12" s="12" t="s">
        <v>234</v>
      </c>
      <c r="C12" s="12" t="s">
        <v>60</v>
      </c>
      <c r="D12" s="13" t="s">
        <v>193</v>
      </c>
      <c r="E12" s="12" t="s">
        <v>239</v>
      </c>
      <c r="F12" s="15" t="s">
        <v>240</v>
      </c>
      <c r="G12" s="15"/>
      <c r="H12" s="15" t="s">
        <v>242</v>
      </c>
      <c r="I12" s="15" t="s">
        <v>244</v>
      </c>
      <c r="J12" s="15" t="s">
        <v>245</v>
      </c>
      <c r="K12" s="15" t="s">
        <v>248</v>
      </c>
      <c r="L12" s="15" t="s">
        <v>250</v>
      </c>
      <c r="M12" s="15" t="s">
        <v>54</v>
      </c>
    </row>
    <row r="13">
      <c r="B13" s="7" t="s">
        <v>204</v>
      </c>
      <c r="C13" s="7" t="s">
        <v>61</v>
      </c>
      <c r="D13" s="5" t="s">
        <v>254</v>
      </c>
      <c r="E13" s="7" t="s">
        <v>37</v>
      </c>
      <c r="F13" s="9" t="s">
        <v>256</v>
      </c>
      <c r="G13" s="9"/>
      <c r="H13" s="9" t="s">
        <v>259</v>
      </c>
      <c r="I13" s="9" t="s">
        <v>261</v>
      </c>
      <c r="J13" s="9" t="s">
        <v>263</v>
      </c>
      <c r="K13" s="9" t="s">
        <v>264</v>
      </c>
      <c r="L13" s="9" t="s">
        <v>265</v>
      </c>
      <c r="M13" s="9" t="s">
        <v>54</v>
      </c>
    </row>
  </sheetData>
  <mergeCells count="2">
    <mergeCell ref="B2:M2"/>
    <mergeCell ref="B3:M3"/>
  </mergeCells>
  <dataValidations>
    <dataValidation type="list" allowBlank="1" sqref="M5:M13">
      <formula1>"Scheduled,In Progress,Completed,Deferred"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3.88"/>
    <col customWidth="1" min="2" max="2" width="13.88"/>
    <col customWidth="1" min="3" max="3" width="10.13"/>
    <col customWidth="1" min="4" max="4" width="12.63"/>
    <col customWidth="1" min="5" max="5" width="16.38"/>
    <col customWidth="1" min="6" max="7" width="30.13"/>
    <col customWidth="1" min="8" max="8" width="32.63"/>
    <col customWidth="1" min="9" max="9" width="30.13"/>
    <col customWidth="1" min="10" max="10" width="32.63"/>
    <col customWidth="1" min="11" max="11" width="27.63"/>
    <col customWidth="1" min="12" max="12" width="15.13"/>
  </cols>
  <sheetData>
    <row r="2" ht="27.0" customHeight="1">
      <c r="B2" s="1" t="s">
        <v>1</v>
      </c>
    </row>
    <row r="3" ht="18.0" customHeight="1">
      <c r="B3" s="2" t="s">
        <v>4</v>
      </c>
    </row>
    <row r="4" ht="24.0" customHeight="1">
      <c r="B4" s="3" t="s">
        <v>10</v>
      </c>
      <c r="C4" s="3" t="s">
        <v>12</v>
      </c>
      <c r="D4" s="3" t="s">
        <v>8</v>
      </c>
      <c r="E4" s="3" t="s">
        <v>18</v>
      </c>
      <c r="F4" s="3" t="s">
        <v>19</v>
      </c>
      <c r="G4" s="3" t="s">
        <v>21</v>
      </c>
      <c r="H4" s="3" t="s">
        <v>22</v>
      </c>
      <c r="I4" s="3" t="s">
        <v>24</v>
      </c>
      <c r="J4" s="3" t="s">
        <v>27</v>
      </c>
      <c r="K4" s="3" t="s">
        <v>29</v>
      </c>
      <c r="L4" s="3" t="s">
        <v>30</v>
      </c>
    </row>
    <row r="5">
      <c r="B5" s="7" t="s">
        <v>31</v>
      </c>
      <c r="C5" s="7" t="s">
        <v>34</v>
      </c>
      <c r="D5" s="5" t="s">
        <v>36</v>
      </c>
      <c r="E5" s="7" t="s">
        <v>37</v>
      </c>
      <c r="F5" s="9" t="s">
        <v>39</v>
      </c>
      <c r="G5" s="9" t="s">
        <v>41</v>
      </c>
      <c r="H5" s="9" t="s">
        <v>45</v>
      </c>
      <c r="I5" s="9" t="s">
        <v>41</v>
      </c>
      <c r="J5" s="9" t="s">
        <v>46</v>
      </c>
      <c r="K5" s="9" t="s">
        <v>47</v>
      </c>
      <c r="L5" s="9" t="s">
        <v>54</v>
      </c>
    </row>
    <row r="6">
      <c r="B6" s="12" t="s">
        <v>57</v>
      </c>
      <c r="C6" s="12" t="s">
        <v>60</v>
      </c>
      <c r="D6" s="13" t="s">
        <v>62</v>
      </c>
      <c r="E6" s="12" t="s">
        <v>63</v>
      </c>
      <c r="F6" s="15" t="s">
        <v>65</v>
      </c>
      <c r="G6" s="15" t="s">
        <v>67</v>
      </c>
      <c r="H6" s="15" t="s">
        <v>71</v>
      </c>
      <c r="I6" s="15" t="s">
        <v>72</v>
      </c>
      <c r="J6" s="15" t="s">
        <v>73</v>
      </c>
      <c r="K6" s="15" t="s">
        <v>76</v>
      </c>
      <c r="L6" s="15" t="s">
        <v>54</v>
      </c>
    </row>
    <row r="7">
      <c r="B7" s="16" t="s">
        <v>83</v>
      </c>
      <c r="C7" s="16" t="s">
        <v>88</v>
      </c>
      <c r="D7" s="17" t="s">
        <v>91</v>
      </c>
      <c r="E7" s="16" t="s">
        <v>94</v>
      </c>
      <c r="F7" s="19" t="s">
        <v>97</v>
      </c>
      <c r="G7" s="19" t="s">
        <v>99</v>
      </c>
      <c r="H7" s="19" t="s">
        <v>101</v>
      </c>
      <c r="I7" s="19" t="s">
        <v>103</v>
      </c>
      <c r="J7" s="19" t="s">
        <v>104</v>
      </c>
      <c r="K7" s="19" t="s">
        <v>105</v>
      </c>
      <c r="L7" s="19" t="s">
        <v>54</v>
      </c>
    </row>
    <row r="8">
      <c r="B8" s="12" t="s">
        <v>112</v>
      </c>
      <c r="C8" s="12" t="s">
        <v>113</v>
      </c>
      <c r="D8" s="13" t="s">
        <v>116</v>
      </c>
      <c r="E8" s="12" t="s">
        <v>118</v>
      </c>
      <c r="F8" s="15" t="s">
        <v>121</v>
      </c>
      <c r="G8" s="15" t="s">
        <v>122</v>
      </c>
      <c r="H8" s="15" t="s">
        <v>124</v>
      </c>
      <c r="I8" s="15" t="s">
        <v>126</v>
      </c>
      <c r="J8" s="15" t="s">
        <v>128</v>
      </c>
      <c r="K8" s="15" t="s">
        <v>130</v>
      </c>
      <c r="L8" s="15" t="s">
        <v>54</v>
      </c>
    </row>
    <row r="9">
      <c r="B9" s="16" t="s">
        <v>131</v>
      </c>
      <c r="C9" s="16" t="s">
        <v>61</v>
      </c>
      <c r="D9" s="17" t="s">
        <v>91</v>
      </c>
      <c r="E9" s="16" t="s">
        <v>134</v>
      </c>
      <c r="F9" s="19" t="s">
        <v>135</v>
      </c>
      <c r="G9" s="19" t="s">
        <v>137</v>
      </c>
      <c r="H9" s="19" t="s">
        <v>139</v>
      </c>
      <c r="I9" s="19" t="s">
        <v>141</v>
      </c>
      <c r="J9" s="19" t="s">
        <v>142</v>
      </c>
      <c r="K9" s="19" t="s">
        <v>144</v>
      </c>
      <c r="L9" s="19" t="s">
        <v>54</v>
      </c>
    </row>
    <row r="10">
      <c r="B10" s="7" t="s">
        <v>146</v>
      </c>
      <c r="C10" s="7" t="s">
        <v>113</v>
      </c>
      <c r="D10" s="5" t="s">
        <v>116</v>
      </c>
      <c r="E10" s="7" t="s">
        <v>118</v>
      </c>
      <c r="F10" s="9" t="s">
        <v>150</v>
      </c>
      <c r="G10" s="9" t="s">
        <v>153</v>
      </c>
      <c r="H10" s="9" t="s">
        <v>156</v>
      </c>
      <c r="I10" s="9" t="s">
        <v>159</v>
      </c>
      <c r="J10" s="9" t="s">
        <v>161</v>
      </c>
      <c r="K10" s="9" t="s">
        <v>164</v>
      </c>
      <c r="L10" s="9" t="s">
        <v>54</v>
      </c>
    </row>
    <row r="11">
      <c r="B11" s="16" t="s">
        <v>167</v>
      </c>
      <c r="C11" s="16" t="s">
        <v>88</v>
      </c>
      <c r="D11" s="17" t="s">
        <v>91</v>
      </c>
      <c r="E11" s="16" t="s">
        <v>94</v>
      </c>
      <c r="F11" s="19" t="s">
        <v>173</v>
      </c>
      <c r="G11" s="19" t="s">
        <v>174</v>
      </c>
      <c r="H11" s="19" t="s">
        <v>175</v>
      </c>
      <c r="I11" s="19" t="s">
        <v>174</v>
      </c>
      <c r="J11" s="19" t="s">
        <v>178</v>
      </c>
      <c r="K11" s="19" t="s">
        <v>179</v>
      </c>
      <c r="L11" s="19" t="s">
        <v>54</v>
      </c>
    </row>
    <row r="12">
      <c r="B12" s="12" t="s">
        <v>184</v>
      </c>
      <c r="C12" s="12" t="s">
        <v>186</v>
      </c>
      <c r="D12" s="13" t="s">
        <v>188</v>
      </c>
      <c r="E12" s="12" t="s">
        <v>37</v>
      </c>
      <c r="F12" s="15" t="s">
        <v>190</v>
      </c>
      <c r="G12" s="15" t="s">
        <v>192</v>
      </c>
      <c r="H12" s="15" t="s">
        <v>195</v>
      </c>
      <c r="I12" s="15" t="s">
        <v>196</v>
      </c>
      <c r="J12" s="15" t="s">
        <v>199</v>
      </c>
      <c r="K12" s="15" t="s">
        <v>200</v>
      </c>
      <c r="L12" s="15" t="s">
        <v>54</v>
      </c>
    </row>
    <row r="13">
      <c r="B13" s="7" t="s">
        <v>204</v>
      </c>
      <c r="C13" s="7" t="s">
        <v>61</v>
      </c>
      <c r="D13" s="5" t="s">
        <v>207</v>
      </c>
      <c r="E13" s="7" t="s">
        <v>37</v>
      </c>
      <c r="F13" s="9" t="s">
        <v>210</v>
      </c>
      <c r="G13" s="9" t="s">
        <v>212</v>
      </c>
      <c r="H13" s="9" t="s">
        <v>215</v>
      </c>
      <c r="I13" s="9" t="s">
        <v>218</v>
      </c>
      <c r="J13" s="9" t="s">
        <v>220</v>
      </c>
      <c r="K13" s="9" t="s">
        <v>222</v>
      </c>
      <c r="L13" s="9" t="s">
        <v>54</v>
      </c>
    </row>
  </sheetData>
  <mergeCells count="2">
    <mergeCell ref="B2:L2"/>
    <mergeCell ref="B3:L3"/>
  </mergeCells>
  <dataValidations>
    <dataValidation type="list" allowBlank="1" sqref="L5:L13">
      <formula1>"Scheduled,In Progress,Completed,Deferred"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3.88"/>
    <col customWidth="1" min="2" max="3" width="12.63"/>
    <col customWidth="1" min="4" max="4" width="17.63"/>
    <col customWidth="1" min="5" max="5" width="35.13"/>
    <col customWidth="1" min="6" max="6" width="30.13"/>
    <col customWidth="1" min="7" max="7" width="32.63"/>
    <col customWidth="1" min="8" max="8" width="22.63"/>
    <col customWidth="1" min="9" max="9" width="16.38"/>
    <col customWidth="1" min="10" max="10" width="20.13"/>
  </cols>
  <sheetData>
    <row r="2" ht="27.0" customHeight="1">
      <c r="B2" s="1" t="s">
        <v>0</v>
      </c>
    </row>
    <row r="3" ht="18.0" customHeight="1">
      <c r="B3" s="2" t="s">
        <v>3</v>
      </c>
    </row>
    <row r="4" ht="24.0" customHeight="1">
      <c r="B4" s="3" t="s">
        <v>7</v>
      </c>
      <c r="C4" s="3" t="s">
        <v>8</v>
      </c>
      <c r="D4" s="3" t="s">
        <v>9</v>
      </c>
      <c r="E4" s="3" t="s">
        <v>11</v>
      </c>
      <c r="F4" s="3" t="s">
        <v>13</v>
      </c>
      <c r="G4" s="3" t="s">
        <v>14</v>
      </c>
      <c r="H4" s="3" t="s">
        <v>15</v>
      </c>
      <c r="I4" s="3" t="s">
        <v>17</v>
      </c>
      <c r="J4" s="3" t="s">
        <v>20</v>
      </c>
    </row>
    <row r="5">
      <c r="B5" s="5" t="s">
        <v>26</v>
      </c>
      <c r="C5" s="6" t="s">
        <v>32</v>
      </c>
      <c r="D5" s="7" t="s">
        <v>35</v>
      </c>
      <c r="E5" s="9" t="s">
        <v>38</v>
      </c>
      <c r="F5" s="9" t="s">
        <v>40</v>
      </c>
      <c r="G5" s="9" t="s">
        <v>42</v>
      </c>
      <c r="H5" s="9" t="s">
        <v>44</v>
      </c>
      <c r="I5" s="7" t="s">
        <v>55</v>
      </c>
      <c r="J5" s="7" t="s">
        <v>56</v>
      </c>
    </row>
    <row r="6">
      <c r="B6" s="13" t="s">
        <v>58</v>
      </c>
      <c r="C6" s="14" t="s">
        <v>32</v>
      </c>
      <c r="D6" s="12" t="s">
        <v>35</v>
      </c>
      <c r="E6" s="15" t="s">
        <v>64</v>
      </c>
      <c r="F6" s="15" t="s">
        <v>66</v>
      </c>
      <c r="G6" s="15" t="s">
        <v>68</v>
      </c>
      <c r="H6" s="15" t="s">
        <v>70</v>
      </c>
      <c r="I6" s="12" t="s">
        <v>74</v>
      </c>
      <c r="J6" s="12" t="s">
        <v>56</v>
      </c>
    </row>
    <row r="7">
      <c r="B7" s="5" t="s">
        <v>78</v>
      </c>
      <c r="C7" s="6" t="s">
        <v>32</v>
      </c>
      <c r="D7" s="7" t="s">
        <v>80</v>
      </c>
      <c r="E7" s="9" t="s">
        <v>82</v>
      </c>
      <c r="F7" s="9" t="s">
        <v>85</v>
      </c>
      <c r="G7" s="9" t="s">
        <v>86</v>
      </c>
      <c r="H7" s="9" t="s">
        <v>87</v>
      </c>
      <c r="I7" s="7" t="s">
        <v>55</v>
      </c>
      <c r="J7" s="7" t="s">
        <v>56</v>
      </c>
    </row>
    <row r="8">
      <c r="B8" s="13" t="s">
        <v>89</v>
      </c>
      <c r="C8" s="14" t="s">
        <v>32</v>
      </c>
      <c r="D8" s="12" t="s">
        <v>80</v>
      </c>
      <c r="E8" s="15" t="s">
        <v>92</v>
      </c>
      <c r="F8" s="15" t="s">
        <v>93</v>
      </c>
      <c r="G8" s="15" t="s">
        <v>95</v>
      </c>
      <c r="H8" s="15" t="s">
        <v>96</v>
      </c>
      <c r="I8" s="12" t="s">
        <v>98</v>
      </c>
      <c r="J8" s="12" t="s">
        <v>56</v>
      </c>
    </row>
    <row r="9">
      <c r="B9" s="5" t="s">
        <v>100</v>
      </c>
      <c r="C9" s="6" t="s">
        <v>102</v>
      </c>
      <c r="D9" s="7" t="s">
        <v>35</v>
      </c>
      <c r="E9" s="9" t="s">
        <v>106</v>
      </c>
      <c r="F9" s="9" t="s">
        <v>108</v>
      </c>
      <c r="G9" s="9" t="s">
        <v>109</v>
      </c>
      <c r="H9" s="9" t="s">
        <v>110</v>
      </c>
      <c r="I9" s="7" t="s">
        <v>74</v>
      </c>
      <c r="J9" s="7" t="s">
        <v>115</v>
      </c>
    </row>
    <row r="10">
      <c r="B10" s="13" t="s">
        <v>119</v>
      </c>
      <c r="C10" s="14" t="s">
        <v>102</v>
      </c>
      <c r="D10" s="12" t="s">
        <v>35</v>
      </c>
      <c r="E10" s="15" t="s">
        <v>123</v>
      </c>
      <c r="F10" s="15" t="s">
        <v>125</v>
      </c>
      <c r="G10" s="15" t="s">
        <v>127</v>
      </c>
      <c r="H10" s="15" t="s">
        <v>129</v>
      </c>
      <c r="I10" s="12" t="s">
        <v>74</v>
      </c>
      <c r="J10" s="12" t="s">
        <v>115</v>
      </c>
    </row>
    <row r="11">
      <c r="B11" s="5" t="s">
        <v>132</v>
      </c>
      <c r="C11" s="6" t="s">
        <v>102</v>
      </c>
      <c r="D11" s="7" t="s">
        <v>80</v>
      </c>
      <c r="E11" s="9" t="s">
        <v>136</v>
      </c>
      <c r="F11" s="9" t="s">
        <v>138</v>
      </c>
      <c r="G11" s="9" t="s">
        <v>140</v>
      </c>
      <c r="H11" s="9" t="s">
        <v>143</v>
      </c>
      <c r="I11" s="7" t="s">
        <v>98</v>
      </c>
      <c r="J11" s="7" t="s">
        <v>115</v>
      </c>
    </row>
    <row r="12">
      <c r="B12" s="13" t="s">
        <v>147</v>
      </c>
      <c r="C12" s="14" t="s">
        <v>148</v>
      </c>
      <c r="D12" s="12" t="s">
        <v>35</v>
      </c>
      <c r="E12" s="15" t="s">
        <v>151</v>
      </c>
      <c r="F12" s="15" t="s">
        <v>152</v>
      </c>
      <c r="G12" s="15" t="s">
        <v>155</v>
      </c>
      <c r="H12" s="15" t="s">
        <v>157</v>
      </c>
      <c r="I12" s="12" t="s">
        <v>74</v>
      </c>
      <c r="J12" s="12" t="s">
        <v>162</v>
      </c>
    </row>
    <row r="13">
      <c r="B13" s="5" t="s">
        <v>165</v>
      </c>
      <c r="C13" s="6" t="s">
        <v>148</v>
      </c>
      <c r="D13" s="7" t="s">
        <v>35</v>
      </c>
      <c r="E13" s="9" t="s">
        <v>168</v>
      </c>
      <c r="F13" s="9" t="s">
        <v>169</v>
      </c>
      <c r="G13" s="9" t="s">
        <v>171</v>
      </c>
      <c r="H13" s="9" t="s">
        <v>172</v>
      </c>
      <c r="I13" s="7" t="s">
        <v>74</v>
      </c>
      <c r="J13" s="7" t="s">
        <v>162</v>
      </c>
    </row>
    <row r="14">
      <c r="B14" s="13" t="s">
        <v>176</v>
      </c>
      <c r="C14" s="14" t="s">
        <v>148</v>
      </c>
      <c r="D14" s="12" t="s">
        <v>80</v>
      </c>
      <c r="E14" s="15" t="s">
        <v>181</v>
      </c>
      <c r="F14" s="15" t="s">
        <v>183</v>
      </c>
      <c r="G14" s="15" t="s">
        <v>185</v>
      </c>
      <c r="H14" s="15" t="s">
        <v>187</v>
      </c>
      <c r="I14" s="12" t="s">
        <v>55</v>
      </c>
      <c r="J14" s="12" t="s">
        <v>162</v>
      </c>
    </row>
    <row r="15">
      <c r="B15" s="5" t="s">
        <v>191</v>
      </c>
      <c r="C15" s="6" t="s">
        <v>193</v>
      </c>
      <c r="D15" s="7" t="s">
        <v>35</v>
      </c>
      <c r="E15" s="9" t="s">
        <v>197</v>
      </c>
      <c r="F15" s="9" t="s">
        <v>198</v>
      </c>
      <c r="G15" s="9" t="s">
        <v>201</v>
      </c>
      <c r="H15" s="9" t="s">
        <v>202</v>
      </c>
      <c r="I15" s="7" t="s">
        <v>98</v>
      </c>
      <c r="J15" s="7" t="s">
        <v>206</v>
      </c>
    </row>
    <row r="16">
      <c r="B16" s="13" t="s">
        <v>209</v>
      </c>
      <c r="C16" s="14" t="s">
        <v>62</v>
      </c>
      <c r="D16" s="12" t="s">
        <v>35</v>
      </c>
      <c r="E16" s="15" t="s">
        <v>214</v>
      </c>
      <c r="F16" s="15" t="s">
        <v>216</v>
      </c>
      <c r="G16" s="15" t="s">
        <v>219</v>
      </c>
      <c r="H16" s="15" t="s">
        <v>221</v>
      </c>
      <c r="I16" s="12" t="s">
        <v>98</v>
      </c>
      <c r="J16" s="12" t="s">
        <v>224</v>
      </c>
    </row>
    <row r="17">
      <c r="B17" s="5" t="s">
        <v>225</v>
      </c>
      <c r="C17" s="6" t="s">
        <v>62</v>
      </c>
      <c r="D17" s="7" t="s">
        <v>80</v>
      </c>
      <c r="E17" s="9" t="s">
        <v>227</v>
      </c>
      <c r="F17" s="9" t="s">
        <v>228</v>
      </c>
      <c r="G17" s="9" t="s">
        <v>229</v>
      </c>
      <c r="H17" s="9" t="s">
        <v>231</v>
      </c>
      <c r="I17" s="7" t="s">
        <v>98</v>
      </c>
      <c r="J17" s="7" t="s">
        <v>224</v>
      </c>
    </row>
    <row r="18">
      <c r="B18" s="13" t="s">
        <v>233</v>
      </c>
      <c r="C18" s="14" t="s">
        <v>116</v>
      </c>
      <c r="D18" s="12" t="s">
        <v>35</v>
      </c>
      <c r="E18" s="15" t="s">
        <v>235</v>
      </c>
      <c r="F18" s="15" t="s">
        <v>236</v>
      </c>
      <c r="G18" s="15" t="s">
        <v>237</v>
      </c>
      <c r="H18" s="15" t="s">
        <v>238</v>
      </c>
      <c r="I18" s="12" t="s">
        <v>98</v>
      </c>
      <c r="J18" s="12" t="s">
        <v>241</v>
      </c>
    </row>
    <row r="19">
      <c r="B19" s="5" t="s">
        <v>243</v>
      </c>
      <c r="C19" s="6" t="s">
        <v>116</v>
      </c>
      <c r="D19" s="7" t="s">
        <v>80</v>
      </c>
      <c r="E19" s="9" t="s">
        <v>246</v>
      </c>
      <c r="F19" s="9" t="s">
        <v>247</v>
      </c>
      <c r="G19" s="9" t="s">
        <v>249</v>
      </c>
      <c r="H19" s="9" t="s">
        <v>251</v>
      </c>
      <c r="I19" s="7" t="s">
        <v>98</v>
      </c>
      <c r="J19" s="7" t="s">
        <v>252</v>
      </c>
    </row>
    <row r="20">
      <c r="B20" s="13" t="s">
        <v>253</v>
      </c>
      <c r="C20" s="14" t="s">
        <v>255</v>
      </c>
      <c r="D20" s="12" t="s">
        <v>35</v>
      </c>
      <c r="E20" s="15" t="s">
        <v>257</v>
      </c>
      <c r="F20" s="15" t="s">
        <v>258</v>
      </c>
      <c r="G20" s="15" t="s">
        <v>260</v>
      </c>
      <c r="H20" s="15" t="s">
        <v>262</v>
      </c>
      <c r="I20" s="12" t="s">
        <v>98</v>
      </c>
      <c r="J20" s="12" t="s">
        <v>252</v>
      </c>
    </row>
  </sheetData>
  <mergeCells count="2">
    <mergeCell ref="B2:J2"/>
    <mergeCell ref="B3:J3"/>
  </mergeCells>
  <dataValidations>
    <dataValidation type="list" allowBlank="1" sqref="I5:I20">
      <formula1>"Draft Proposed,In Development,Under Review,Approved / Validated,Completed"</formula1>
    </dataValidation>
  </dataValidations>
  <drawing r:id="rId1"/>
</worksheet>
</file>