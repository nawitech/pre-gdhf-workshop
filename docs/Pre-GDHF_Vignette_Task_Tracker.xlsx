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Summary" sheetId="2" state="visible" r:id="rId4"/>
    <sheet name="Milestones" sheetId="3" state="visible" r:id="rId5"/>
  </sheets>
  <definedNames>
    <definedName function="false" hidden="true" localSheetId="0" name="_xlnm._FilterDatabase" vbProcedure="false">Tasks!$A$1:$L$43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Dates stated on the 14 and 16 Oct calls are used where given; other dates are suggested targets to confirm with the team. 'TBC' = not yet scheduled.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30 Nov to 1 Dec 2026, Bangkok, per Fred Hersch project plan (github.com/fredhersch/pre-gdhf-workshop).</t>
        </r>
      </text>
    </comment>
  </commentList>
</comments>
</file>

<file path=xl/sharedStrings.xml><?xml version="1.0" encoding="utf-8"?>
<sst xmlns="http://schemas.openxmlformats.org/spreadsheetml/2006/main" count="512" uniqueCount="223">
  <si>
    <t xml:space="preserve">ID</t>
  </si>
  <si>
    <t xml:space="preserve">Fred tracker ID</t>
  </si>
  <si>
    <t xml:space="preserve">Workstream</t>
  </si>
  <si>
    <t xml:space="preserve">Journey</t>
  </si>
  <si>
    <t xml:space="preserve">Task</t>
  </si>
  <si>
    <t xml:space="preserve">Owner</t>
  </si>
  <si>
    <t xml:space="preserve">Org</t>
  </si>
  <si>
    <t xml:space="preserve">Priority</t>
  </si>
  <si>
    <t xml:space="preserve">Due</t>
  </si>
  <si>
    <t xml:space="preserve">Status</t>
  </si>
  <si>
    <t xml:space="preserve">Depends on</t>
  </si>
  <si>
    <t xml:space="preserve">Notes / source</t>
  </si>
  <si>
    <t xml:space="preserve">A1</t>
  </si>
  <si>
    <t xml:space="preserve">TECH-01</t>
  </si>
  <si>
    <t xml:space="preserve">Planning &amp; documentation</t>
  </si>
  <si>
    <t xml:space="preserve">All</t>
  </si>
  <si>
    <t xml:space="preserve">Fill updated journey doc columns (policy/technical questions, readiness gaps, Discussion) for J1–J4.1</t>
  </si>
  <si>
    <t xml:space="preserve">RM</t>
  </si>
  <si>
    <t xml:space="preserve">Nawi</t>
  </si>
  <si>
    <t xml:space="preserve">Critical path</t>
  </si>
  <si>
    <t xml:space="preserve">In progress</t>
  </si>
  <si>
    <t xml:space="preserve">Before Wed 21 Oct sync; cell text drafted</t>
  </si>
  <si>
    <t xml:space="preserve">A2</t>
  </si>
  <si>
    <t xml:space="preserve">TECH-03</t>
  </si>
  <si>
    <t xml:space="preserve">Fix dated vignette timeline (birth date, 6-month visit, travel date) so test data and schedule rules agree</t>
  </si>
  <si>
    <t xml:space="preserve">Not started</t>
  </si>
  <si>
    <t xml:space="preserve">B1</t>
  </si>
  <si>
    <t xml:space="preserve">Coordinate with RR test data</t>
  </si>
  <si>
    <t xml:space="preserve">A3</t>
  </si>
  <si>
    <t xml:space="preserve">TECH-09</t>
  </si>
  <si>
    <t xml:space="preserve">Full requirements / technical specification document (production-level requirements even where implementation is mock)</t>
  </si>
  <si>
    <t xml:space="preserve">Carl: document at production level</t>
  </si>
  <si>
    <t xml:space="preserve">A4</t>
  </si>
  <si>
    <t xml:space="preserve">IG scaffold on WHO repo: BPMN process diagrams, user stories, terminology, test data, links to DVC / VHL / PCF specs</t>
  </si>
  <si>
    <t xml:space="preserve">RM / CL</t>
  </si>
  <si>
    <t xml:space="preserve">Nawi/WHO</t>
  </si>
  <si>
    <t xml:space="preserve">Agreed 16 Oct; also shown as best-practice workflow documentation</t>
  </si>
  <si>
    <t xml:space="preserve">A5</t>
  </si>
  <si>
    <t xml:space="preserve">JOINT-01</t>
  </si>
  <si>
    <t xml:space="preserve">Weekly sync (next: Wed 21 Oct 13:00 Geneva); add AeHIN and Mark to invite</t>
  </si>
  <si>
    <t xml:space="preserve">CL / FH</t>
  </si>
  <si>
    <t xml:space="preserve">WHO/Google</t>
  </si>
  <si>
    <t xml:space="preserve">A6</t>
  </si>
  <si>
    <t xml:space="preserve">J1–J3</t>
  </si>
  <si>
    <t xml:space="preserve">Request real vaccine lists from two countries (via AeHIN) so the code-set discrepancy is concrete</t>
  </si>
  <si>
    <t xml:space="preserve">CL</t>
  </si>
  <si>
    <t xml:space="preserve">WHO</t>
  </si>
  <si>
    <t xml:space="preserve">Nice to have</t>
  </si>
  <si>
    <t xml:space="preserve">TBC</t>
  </si>
  <si>
    <t xml:space="preserve">Carl suggestion 16 Oct</t>
  </si>
  <si>
    <t xml:space="preserve">Issuance &amp; test data</t>
  </si>
  <si>
    <t xml:space="preserve">J1</t>
  </si>
  <si>
    <t xml:space="preserve">Single-vaccine DVC / IPS example from existing test-bed data; confirm it matches a newborn first-dose story</t>
  </si>
  <si>
    <t xml:space="preserve">RR</t>
  </si>
  <si>
    <t xml:space="preserve">Hajj / Rexel examples; content embedded in QR, no portal lookup</t>
  </si>
  <si>
    <t xml:space="preserve">B2</t>
  </si>
  <si>
    <t xml:space="preserve">Document QR-generation steps</t>
  </si>
  <si>
    <t xml:space="preserve">B3</t>
  </si>
  <si>
    <t xml:space="preserve">Requirements doc from Hajj / Rexel scenarios (basis for verification API requirements)</t>
  </si>
  <si>
    <t xml:space="preserve">Reviewed Monday per Carl</t>
  </si>
  <si>
    <t xml:space="preserve">B4</t>
  </si>
  <si>
    <t xml:space="preserve">Generation tool for test DVCs if existing data does not fit the story</t>
  </si>
  <si>
    <t xml:space="preserve">B5</t>
  </si>
  <si>
    <t xml:space="preserve">Locate and review Roxel wiki documentation</t>
  </si>
  <si>
    <t xml:space="preserve">B6</t>
  </si>
  <si>
    <t xml:space="preserve">TECH-02</t>
  </si>
  <si>
    <t xml:space="preserve">Pre-printed QR cards + optional pre-recorded issuance video</t>
  </si>
  <si>
    <t xml:space="preserve">CL / RR</t>
  </si>
  <si>
    <t xml:space="preserve">Issuance is simulated, not live</t>
  </si>
  <si>
    <t xml:space="preserve">B7</t>
  </si>
  <si>
    <t xml:space="preserve">J3</t>
  </si>
  <si>
    <t xml:space="preserve">Provision DEV trust-list keys / PKI material for demo devices</t>
  </si>
  <si>
    <t xml:space="preserve">https://smart.who.int/trust/endpoints.html</t>
  </si>
  <si>
    <t xml:space="preserve">C1</t>
  </si>
  <si>
    <t xml:space="preserve">TECH-04</t>
  </si>
  <si>
    <t xml:space="preserve">Verification library</t>
  </si>
  <si>
    <t xml:space="preserve">J3, J4.1</t>
  </si>
  <si>
    <t xml:space="preserve">Pull verifiers repo (last Rexel update) and confirm it runs</t>
  </si>
  <si>
    <t xml:space="preserve">gdhcn-validator</t>
  </si>
  <si>
    <t xml:space="preserve">C2</t>
  </si>
  <si>
    <t xml:space="preserve">Review API requirements doc; identify gaps for the library</t>
  </si>
  <si>
    <t xml:space="preserve">CL / JCT / RM</t>
  </si>
  <si>
    <t xml:space="preserve">WHO/Nawi</t>
  </si>
  <si>
    <t xml:space="preserve">C3</t>
  </si>
  <si>
    <t xml:space="preserve">Transcode Python validator REST API to Kotlin</t>
  </si>
  <si>
    <t xml:space="preserve">JCT</t>
  </si>
  <si>
    <t xml:space="preserve">C4</t>
  </si>
  <si>
    <t xml:space="preserve">Deliver Kotlin multiplatform QR/HCERT extraction + DVC and VHL-manifest verification library to Nawi for testing</t>
  </si>
  <si>
    <t xml:space="preserve">'mid next week' per Carl</t>
  </si>
  <si>
    <t xml:space="preserve">C5</t>
  </si>
  <si>
    <t xml:space="preserve">TECH-05</t>
  </si>
  <si>
    <t xml:space="preserve">J2, J3, J4.1</t>
  </si>
  <si>
    <t xml:space="preserve">QR reader component working cross-platform (Android; web on tablet)</t>
  </si>
  <si>
    <t xml:space="preserve">Nawi eng</t>
  </si>
  <si>
    <t xml:space="preserve">Fred: priority</t>
  </si>
  <si>
    <t xml:space="preserve">C6</t>
  </si>
  <si>
    <t xml:space="preserve">TECH-06</t>
  </si>
  <si>
    <t xml:space="preserve">Integrate verification library into OHS Player (J3 DVC verify; J4.1 manifest verify) with cached keys for offline</t>
  </si>
  <si>
    <t xml:space="preserve">C4, C5</t>
  </si>
  <si>
    <t xml:space="preserve">D1</t>
  </si>
  <si>
    <t xml:space="preserve">Player configurations</t>
  </si>
  <si>
    <t xml:space="preserve">Terminology: ValueSets country-a-vaccines / country-b-vaccines, deliberately unmapped, one shared vaccine coded differently</t>
  </si>
  <si>
    <t xml:space="preserve">D2</t>
  </si>
  <si>
    <t xml:space="preserve">J2</t>
  </si>
  <si>
    <t xml:space="preserve">Community config: household roster, newborn registration, QR decode (no verify), Immunization as unverified (primarySource=false, reportOrigin), referral ServiceRequest to seeded facility</t>
  </si>
  <si>
    <t xml:space="preserve">C5, D1</t>
  </si>
  <si>
    <t xml:space="preserve">D3</t>
  </si>
  <si>
    <t xml:space="preserve">EHR config (web on tablet / Android): scan, verify, import with Provenance, PlanDefinition/FHIRPath schedule vs Country B rules, reminder Task/Appointment</t>
  </si>
  <si>
    <t xml:space="preserve">C6, D1</t>
  </si>
  <si>
    <t xml:space="preserve">D4</t>
  </si>
  <si>
    <t xml:space="preserve">TECH-07</t>
  </si>
  <si>
    <t xml:space="preserve">J4.0</t>
  </si>
  <si>
    <t xml:space="preserve">Family config: member profiles (Group/RelatedPerson), pull records, one VHL QR per traveller with passcode</t>
  </si>
  <si>
    <t xml:space="preserve">E1</t>
  </si>
  <si>
    <t xml:space="preserve">Three VHLs / IPS / QRs: mother, father, baby</t>
  </si>
  <si>
    <t xml:space="preserve">D5</t>
  </si>
  <si>
    <t xml:space="preserve">J4.1</t>
  </si>
  <si>
    <t xml:space="preserve">Viewer config: scan VHL QR, passcode, fetch manifest, verify, display</t>
  </si>
  <si>
    <t xml:space="preserve">C6, E1</t>
  </si>
  <si>
    <t xml:space="preserve">D6</t>
  </si>
  <si>
    <t xml:space="preserve">Seed data and fixed dates for demo devices</t>
  </si>
  <si>
    <t xml:space="preserve">A2, B1</t>
  </si>
  <si>
    <t xml:space="preserve">D7</t>
  </si>
  <si>
    <t xml:space="preserve">TECH-10</t>
  </si>
  <si>
    <t xml:space="preserve">AuditEvent at Info Gateway for verification and VHL fetches</t>
  </si>
  <si>
    <t xml:space="preserve">D3, D5</t>
  </si>
  <si>
    <t xml:space="preserve">D8</t>
  </si>
  <si>
    <t xml:space="preserve">Consent-to-share captured at VHL generation (Consent / AuditEvent; IHE PCF as reference)</t>
  </si>
  <si>
    <t xml:space="preserve">Nice-to-have / commentary per Fred</t>
  </si>
  <si>
    <t xml:space="preserve">D9</t>
  </si>
  <si>
    <t xml:space="preserve">SMS / WhatsApp delivery of records or links</t>
  </si>
  <si>
    <t xml:space="preserve">Deferred</t>
  </si>
  <si>
    <t xml:space="preserve">TECH-08</t>
  </si>
  <si>
    <t xml:space="preserve">VHL issuer / host</t>
  </si>
  <si>
    <t xml:space="preserve">J4.0, J4.1</t>
  </si>
  <si>
    <t xml:space="preserve">Mock VHL issuer: FHIR server exposing VHL endpoints with the three IPS, signed; hosted on Nawi OHS servers</t>
  </si>
  <si>
    <t xml:space="preserve">Nawi eng / JCT</t>
  </si>
  <si>
    <t xml:space="preserve">Small mock, not Docker-heavy; requirements still production-level</t>
  </si>
  <si>
    <t xml:space="preserve">E2</t>
  </si>
  <si>
    <t xml:space="preserve">Evaluate OpenFn approach to fetch from FHIR server and package IPS / VHL payloads</t>
  </si>
  <si>
    <t xml:space="preserve">E3</t>
  </si>
  <si>
    <t xml:space="preserve">ITB VHL issuer prototype (reference / test environment)</t>
  </si>
  <si>
    <t xml:space="preserve">CL / WHO</t>
  </si>
  <si>
    <t xml:space="preserve">Targeted week of 27 Oct</t>
  </si>
  <si>
    <t xml:space="preserve">E4</t>
  </si>
  <si>
    <t xml:space="preserve">Fallback: pre-packaged VHL QR codes handed to Nawi</t>
  </si>
  <si>
    <t xml:space="preserve">Used if E1/E3 slip</t>
  </si>
  <si>
    <t xml:space="preserve">E5</t>
  </si>
  <si>
    <t xml:space="preserve">Sync with Jing on prior SHL / portable-record work</t>
  </si>
  <si>
    <t xml:space="preserve">E6</t>
  </si>
  <si>
    <t xml:space="preserve">Hunt Roxel team VHL demos and open-source tools</t>
  </si>
  <si>
    <t xml:space="preserve">E7</t>
  </si>
  <si>
    <t xml:space="preserve">Review IHE Privacy Consent on FHIR (PCF) for consent breakout content</t>
  </si>
  <si>
    <t xml:space="preserve">F1</t>
  </si>
  <si>
    <t xml:space="preserve">TECH-11</t>
  </si>
  <si>
    <t xml:space="preserve">Workshop content</t>
  </si>
  <si>
    <t xml:space="preserve">J5</t>
  </si>
  <si>
    <t xml:space="preserve">Nawi content / code-lab plan (partially assembled kits, steps 3, 7, 11; curated final assembly)</t>
  </si>
  <si>
    <t xml:space="preserve">RM / FH</t>
  </si>
  <si>
    <t xml:space="preserve">Nawi/Google</t>
  </si>
  <si>
    <t xml:space="preserve">Initial plan already shared</t>
  </si>
  <si>
    <t xml:space="preserve">F2</t>
  </si>
  <si>
    <t xml:space="preserve">Legacy-system mapping as short tech talks + demos (not a breakout)</t>
  </si>
  <si>
    <t xml:space="preserve">FH</t>
  </si>
  <si>
    <t xml:space="preserve">Google</t>
  </si>
  <si>
    <t xml:space="preserve">F3</t>
  </si>
  <si>
    <t xml:space="preserve">POL-06</t>
  </si>
  <si>
    <t xml:space="preserve">Align partner and country demonstration slots (CSIRO, OpenFn, TH, ID, MY, LA, KH)</t>
  </si>
  <si>
    <t xml:space="preserve">GM / DW / AM</t>
  </si>
  <si>
    <t xml:space="preserve">Section 4 of doc</t>
  </si>
  <si>
    <t xml:space="preserve">F4</t>
  </si>
  <si>
    <t xml:space="preserve">POL-05</t>
  </si>
  <si>
    <t xml:space="preserve">Policy-track discussion points: code-set governance, consent (PCF), audit / GDPR-style access, DVC vs ICVP</t>
  </si>
  <si>
    <t xml:space="preserve">CL / Mark</t>
  </si>
  <si>
    <t xml:space="preserve">F5</t>
  </si>
  <si>
    <t xml:space="preserve">TECH-12</t>
  </si>
  <si>
    <t xml:space="preserve">Day 2 interoperability practicum stations and test scripts (source-to-FHIR, use and update, test and exchange; optional ITB test harness)</t>
  </si>
  <si>
    <t xml:space="preserve">F6</t>
  </si>
  <si>
    <t xml:space="preserve">JOINT-04</t>
  </si>
  <si>
    <t xml:space="preserve">Day 2 connected end-to-end demo run-of-show (community referral to clinic verification to cross-border travel)</t>
  </si>
  <si>
    <t xml:space="preserve">RM / CL / FH</t>
  </si>
  <si>
    <t xml:space="preserve">Nawi/WHO/Google</t>
  </si>
  <si>
    <t xml:space="preserve">D3, D4, D5, E1</t>
  </si>
  <si>
    <t xml:space="preserve">F7</t>
  </si>
  <si>
    <t xml:space="preserve">TECH-13</t>
  </si>
  <si>
    <t xml:space="preserve">Full end-to-end technical rehearsal with offline fallbacks and failure recovery</t>
  </si>
  <si>
    <t xml:space="preserve">RM / FH / CL</t>
  </si>
  <si>
    <t xml:space="preserve">Nawi/Google/WHO</t>
  </si>
  <si>
    <t xml:space="preserve">Workshop date (Mon–Tue, confirm)</t>
  </si>
  <si>
    <t xml:space="preserve">By owner</t>
  </si>
  <si>
    <t xml:space="preserve">Total</t>
  </si>
  <si>
    <t xml:space="preserve">Blocked</t>
  </si>
  <si>
    <t xml:space="preserve">Done</t>
  </si>
  <si>
    <t xml:space="preserve">WHO (other)</t>
  </si>
  <si>
    <t xml:space="preserve">Note: shared tasks (e.g. 'CL / RR') count once under each named owner.</t>
  </si>
  <si>
    <t xml:space="preserve">By workstream</t>
  </si>
  <si>
    <t xml:space="preserve">Open</t>
  </si>
  <si>
    <t xml:space="preserve">Critical path open</t>
  </si>
  <si>
    <t xml:space="preserve">Due this week / overdue</t>
  </si>
  <si>
    <t xml:space="preserve">Open tasks due on or before</t>
  </si>
  <si>
    <t xml:space="preserve">Legend</t>
  </si>
  <si>
    <t xml:space="preserve">Yellow cells are for you to edit (owner, priority, due, status on Tasks; workshop date and cut-off here).</t>
  </si>
  <si>
    <t xml:space="preserve">Owners: RM Roy Munge · RR Ritika Rawlani · CL Carl Leitner · JCT Jose Costa Teixeira · FH Fred Hersch · GM/DW/AM Garrett Mehl / Diana Wijayanti / Alvin Marcelo · Nawi eng = Nawi engineering team.</t>
  </si>
  <si>
    <t xml:space="preserve">Due dates: items stated on the 14 and 16 Oct calls are as given; the rest are aligned to the parent task dates in Fred Hersch's master tracker (Fred tracker ID column). Keep that tracker as the master; this sheet is the technical sub-task breakdown.</t>
  </si>
  <si>
    <t xml:space="preserve">Summary formulas recalculate as the Tasks sheet changes; add new rows anywhere on Tasks.</t>
  </si>
  <si>
    <t xml:space="preserve">Date</t>
  </si>
  <si>
    <t xml:space="preserve">Milestone</t>
  </si>
  <si>
    <t xml:space="preserve">Single-vaccine DVC/IPS example + QR steps + API requirements doc</t>
  </si>
  <si>
    <t xml:space="preserve">Journey doc columns filled; timeline fixed; API requirements reviewed</t>
  </si>
  <si>
    <t xml:space="preserve">RM / CL / JCT</t>
  </si>
  <si>
    <t xml:space="preserve">Weekly sync — VHL approach confirmed, verification library requirements reviewed</t>
  </si>
  <si>
    <t xml:space="preserve">Kotlin verification library delivered to Nawi (TECH-04)</t>
  </si>
  <si>
    <t xml:space="preserve">CL / JCT</t>
  </si>
  <si>
    <t xml:space="preserve">J2 community config reads QR offline and refers (TECH-05)</t>
  </si>
  <si>
    <t xml:space="preserve">J3 clinic config verifies signatures and calculates schedule (TECH-06)</t>
  </si>
  <si>
    <t xml:space="preserve">Mock VHL issuer live; IG published on WHO repo (TECH-08, TECH-09)</t>
  </si>
  <si>
    <t xml:space="preserve">Nawi / WHO</t>
  </si>
  <si>
    <t xml:space="preserve">J4.0 and J4.1 family configs resolve three VHLs (TECH-07)</t>
  </si>
  <si>
    <t xml:space="preserve">Day 1 code labs packaged (TECH-11)</t>
  </si>
  <si>
    <t xml:space="preserve">FH / RM</t>
  </si>
  <si>
    <t xml:space="preserve">Full end-to-end rehearsal (TECH-13)</t>
  </si>
  <si>
    <t xml:space="preserve">Pre-GDHF workshop, Bangkok, 30 Nov to 1 Dec</t>
  </si>
  <si>
    <t xml:space="preserve">Milestone dates follow Fred Hersch's master plan (TECH/JOINT IDs); sub-task dates on the Tasks sheet are set to land before their parent.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</si>
</sst>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5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3" t="s">
        <v>19</v>
      </c>
      <c r="I2" s="4" t="n">
        <v>46315</v>
      </c>
      <c r="J2" s="3" t="s">
        <v>20</v>
      </c>
      <c r="K2" s="2"/>
      <c r="L2" s="2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14</v>
      </c>
      <c r="D3" s="2" t="s">
        <v>15</v>
      </c>
      <c r="E3" s="2" t="s">
        <v>24</v>
      </c>
      <c r="F3" s="3" t="s">
        <v>17</v>
      </c>
      <c r="G3" s="2" t="s">
        <v>18</v>
      </c>
      <c r="H3" s="3" t="s">
        <v>19</v>
      </c>
      <c r="I3" s="4" t="n">
        <v>46315</v>
      </c>
      <c r="J3" s="3" t="s">
        <v>25</v>
      </c>
      <c r="K3" s="2" t="s">
        <v>26</v>
      </c>
      <c r="L3" s="2" t="s">
        <v>27</v>
      </c>
    </row>
    <row r="4" customFormat="false" ht="23.85" hidden="false" customHeight="false" outlineLevel="0" collapsed="false">
      <c r="A4" s="2" t="s">
        <v>28</v>
      </c>
      <c r="B4" s="2" t="s">
        <v>29</v>
      </c>
      <c r="C4" s="2" t="s">
        <v>14</v>
      </c>
      <c r="D4" s="2" t="s">
        <v>15</v>
      </c>
      <c r="E4" s="2" t="s">
        <v>30</v>
      </c>
      <c r="F4" s="3" t="s">
        <v>17</v>
      </c>
      <c r="G4" s="2" t="s">
        <v>18</v>
      </c>
      <c r="H4" s="3" t="s">
        <v>19</v>
      </c>
      <c r="I4" s="4" t="n">
        <v>46318</v>
      </c>
      <c r="J4" s="3" t="s">
        <v>25</v>
      </c>
      <c r="K4" s="2" t="s">
        <v>12</v>
      </c>
      <c r="L4" s="2" t="s">
        <v>31</v>
      </c>
    </row>
    <row r="5" customFormat="false" ht="23.85" hidden="false" customHeight="false" outlineLevel="0" collapsed="false">
      <c r="A5" s="2" t="s">
        <v>32</v>
      </c>
      <c r="B5" s="2" t="s">
        <v>29</v>
      </c>
      <c r="C5" s="2" t="s">
        <v>14</v>
      </c>
      <c r="D5" s="2" t="s">
        <v>15</v>
      </c>
      <c r="E5" s="2" t="s">
        <v>33</v>
      </c>
      <c r="F5" s="3" t="s">
        <v>34</v>
      </c>
      <c r="G5" s="2" t="s">
        <v>35</v>
      </c>
      <c r="H5" s="3" t="s">
        <v>19</v>
      </c>
      <c r="I5" s="4" t="n">
        <v>46332</v>
      </c>
      <c r="J5" s="3" t="s">
        <v>25</v>
      </c>
      <c r="K5" s="2" t="s">
        <v>28</v>
      </c>
      <c r="L5" s="2" t="s">
        <v>36</v>
      </c>
    </row>
    <row r="6" customFormat="false" ht="23.85" hidden="false" customHeight="false" outlineLevel="0" collapsed="false">
      <c r="A6" s="2" t="s">
        <v>37</v>
      </c>
      <c r="B6" s="2" t="s">
        <v>38</v>
      </c>
      <c r="C6" s="2" t="s">
        <v>14</v>
      </c>
      <c r="D6" s="2" t="s">
        <v>15</v>
      </c>
      <c r="E6" s="2" t="s">
        <v>39</v>
      </c>
      <c r="F6" s="3" t="s">
        <v>40</v>
      </c>
      <c r="G6" s="2" t="s">
        <v>41</v>
      </c>
      <c r="H6" s="3" t="s">
        <v>19</v>
      </c>
      <c r="I6" s="4" t="n">
        <v>46316</v>
      </c>
      <c r="J6" s="3" t="s">
        <v>20</v>
      </c>
      <c r="K6" s="2"/>
      <c r="L6" s="2"/>
    </row>
    <row r="7" customFormat="false" ht="23.85" hidden="false" customHeight="false" outlineLevel="0" collapsed="false">
      <c r="A7" s="2" t="s">
        <v>42</v>
      </c>
      <c r="B7" s="2" t="s">
        <v>23</v>
      </c>
      <c r="C7" s="2" t="s">
        <v>14</v>
      </c>
      <c r="D7" s="2" t="s">
        <v>43</v>
      </c>
      <c r="E7" s="2" t="s">
        <v>44</v>
      </c>
      <c r="F7" s="3" t="s">
        <v>45</v>
      </c>
      <c r="G7" s="2" t="s">
        <v>46</v>
      </c>
      <c r="H7" s="3" t="s">
        <v>47</v>
      </c>
      <c r="I7" s="4" t="s">
        <v>48</v>
      </c>
      <c r="J7" s="3" t="s">
        <v>25</v>
      </c>
      <c r="K7" s="2"/>
      <c r="L7" s="2" t="s">
        <v>49</v>
      </c>
    </row>
    <row r="8" customFormat="false" ht="23.85" hidden="false" customHeight="false" outlineLevel="0" collapsed="false">
      <c r="A8" s="2" t="s">
        <v>26</v>
      </c>
      <c r="B8" s="2" t="s">
        <v>23</v>
      </c>
      <c r="C8" s="2" t="s">
        <v>50</v>
      </c>
      <c r="D8" s="2" t="s">
        <v>51</v>
      </c>
      <c r="E8" s="2" t="s">
        <v>52</v>
      </c>
      <c r="F8" s="3" t="s">
        <v>53</v>
      </c>
      <c r="G8" s="2" t="s">
        <v>46</v>
      </c>
      <c r="H8" s="3" t="s">
        <v>19</v>
      </c>
      <c r="I8" s="4" t="n">
        <v>46314</v>
      </c>
      <c r="J8" s="3" t="s">
        <v>20</v>
      </c>
      <c r="K8" s="2"/>
      <c r="L8" s="2" t="s">
        <v>54</v>
      </c>
    </row>
    <row r="9" customFormat="false" ht="15" hidden="false" customHeight="false" outlineLevel="0" collapsed="false">
      <c r="A9" s="2" t="s">
        <v>55</v>
      </c>
      <c r="B9" s="2" t="s">
        <v>23</v>
      </c>
      <c r="C9" s="2" t="s">
        <v>50</v>
      </c>
      <c r="D9" s="2" t="s">
        <v>51</v>
      </c>
      <c r="E9" s="2" t="s">
        <v>56</v>
      </c>
      <c r="F9" s="3" t="s">
        <v>53</v>
      </c>
      <c r="G9" s="2" t="s">
        <v>46</v>
      </c>
      <c r="H9" s="3" t="s">
        <v>19</v>
      </c>
      <c r="I9" s="4" t="n">
        <v>46314</v>
      </c>
      <c r="J9" s="3" t="s">
        <v>25</v>
      </c>
      <c r="K9" s="2"/>
      <c r="L9" s="2"/>
    </row>
    <row r="10" customFormat="false" ht="23.85" hidden="false" customHeight="false" outlineLevel="0" collapsed="false">
      <c r="A10" s="2" t="s">
        <v>57</v>
      </c>
      <c r="B10" s="2" t="s">
        <v>23</v>
      </c>
      <c r="C10" s="2" t="s">
        <v>50</v>
      </c>
      <c r="D10" s="2" t="s">
        <v>51</v>
      </c>
      <c r="E10" s="2" t="s">
        <v>58</v>
      </c>
      <c r="F10" s="3" t="s">
        <v>53</v>
      </c>
      <c r="G10" s="2" t="s">
        <v>46</v>
      </c>
      <c r="H10" s="3" t="s">
        <v>19</v>
      </c>
      <c r="I10" s="4" t="n">
        <v>46314</v>
      </c>
      <c r="J10" s="3" t="s">
        <v>25</v>
      </c>
      <c r="K10" s="2"/>
      <c r="L10" s="2" t="s">
        <v>59</v>
      </c>
    </row>
    <row r="11" customFormat="false" ht="15" hidden="false" customHeight="false" outlineLevel="0" collapsed="false">
      <c r="A11" s="2" t="s">
        <v>60</v>
      </c>
      <c r="B11" s="2" t="s">
        <v>23</v>
      </c>
      <c r="C11" s="2" t="s">
        <v>50</v>
      </c>
      <c r="D11" s="2" t="s">
        <v>51</v>
      </c>
      <c r="E11" s="2" t="s">
        <v>61</v>
      </c>
      <c r="F11" s="3" t="s">
        <v>45</v>
      </c>
      <c r="G11" s="2" t="s">
        <v>46</v>
      </c>
      <c r="H11" s="3" t="s">
        <v>19</v>
      </c>
      <c r="I11" s="4" t="n">
        <v>46318</v>
      </c>
      <c r="J11" s="3" t="s">
        <v>25</v>
      </c>
      <c r="K11" s="2" t="s">
        <v>26</v>
      </c>
      <c r="L11" s="2"/>
    </row>
    <row r="12" customFormat="false" ht="15" hidden="false" customHeight="false" outlineLevel="0" collapsed="false">
      <c r="A12" s="2" t="s">
        <v>62</v>
      </c>
      <c r="B12" s="2" t="s">
        <v>23</v>
      </c>
      <c r="C12" s="2" t="s">
        <v>50</v>
      </c>
      <c r="D12" s="2" t="s">
        <v>51</v>
      </c>
      <c r="E12" s="2" t="s">
        <v>63</v>
      </c>
      <c r="F12" s="3" t="s">
        <v>45</v>
      </c>
      <c r="G12" s="2" t="s">
        <v>46</v>
      </c>
      <c r="H12" s="3" t="s">
        <v>47</v>
      </c>
      <c r="I12" s="4" t="n">
        <v>46318</v>
      </c>
      <c r="J12" s="3" t="s">
        <v>25</v>
      </c>
      <c r="K12" s="2"/>
      <c r="L12" s="2"/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50</v>
      </c>
      <c r="D13" s="2" t="s">
        <v>51</v>
      </c>
      <c r="E13" s="2" t="s">
        <v>66</v>
      </c>
      <c r="F13" s="3" t="s">
        <v>67</v>
      </c>
      <c r="G13" s="2" t="s">
        <v>46</v>
      </c>
      <c r="H13" s="3" t="s">
        <v>19</v>
      </c>
      <c r="I13" s="4" t="n">
        <v>46319</v>
      </c>
      <c r="J13" s="3" t="s">
        <v>25</v>
      </c>
      <c r="K13" s="2" t="s">
        <v>26</v>
      </c>
      <c r="L13" s="2" t="s">
        <v>68</v>
      </c>
    </row>
    <row r="14" customFormat="false" ht="15" hidden="false" customHeight="false" outlineLevel="0" collapsed="false">
      <c r="A14" s="2" t="s">
        <v>69</v>
      </c>
      <c r="B14" s="2" t="s">
        <v>23</v>
      </c>
      <c r="C14" s="2" t="s">
        <v>50</v>
      </c>
      <c r="D14" s="2" t="s">
        <v>70</v>
      </c>
      <c r="E14" s="2" t="s">
        <v>71</v>
      </c>
      <c r="F14" s="3" t="s">
        <v>45</v>
      </c>
      <c r="G14" s="2" t="s">
        <v>46</v>
      </c>
      <c r="H14" s="3" t="s">
        <v>19</v>
      </c>
      <c r="I14" s="4" t="n">
        <v>46317</v>
      </c>
      <c r="J14" s="3" t="s">
        <v>25</v>
      </c>
      <c r="K14" s="2"/>
      <c r="L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3" t="s">
        <v>53</v>
      </c>
      <c r="G15" s="2" t="s">
        <v>46</v>
      </c>
      <c r="H15" s="3" t="s">
        <v>19</v>
      </c>
      <c r="I15" s="4" t="n">
        <v>46314</v>
      </c>
      <c r="J15" s="3" t="s">
        <v>25</v>
      </c>
      <c r="K15" s="2"/>
      <c r="L15" s="2" t="s">
        <v>78</v>
      </c>
    </row>
    <row r="16" customFormat="false" ht="23.85" hidden="false" customHeight="false" outlineLevel="0" collapsed="false">
      <c r="A16" s="2" t="s">
        <v>79</v>
      </c>
      <c r="B16" s="2" t="s">
        <v>74</v>
      </c>
      <c r="C16" s="2" t="s">
        <v>75</v>
      </c>
      <c r="D16" s="2" t="s">
        <v>76</v>
      </c>
      <c r="E16" s="2" t="s">
        <v>80</v>
      </c>
      <c r="F16" s="3" t="s">
        <v>81</v>
      </c>
      <c r="G16" s="2" t="s">
        <v>82</v>
      </c>
      <c r="H16" s="3" t="s">
        <v>19</v>
      </c>
      <c r="I16" s="4" t="n">
        <v>46315</v>
      </c>
      <c r="J16" s="3" t="s">
        <v>25</v>
      </c>
      <c r="K16" s="2" t="s">
        <v>57</v>
      </c>
      <c r="L16" s="2"/>
    </row>
    <row r="17" customFormat="false" ht="15" hidden="false" customHeight="false" outlineLevel="0" collapsed="false">
      <c r="A17" s="2" t="s">
        <v>83</v>
      </c>
      <c r="B17" s="2" t="s">
        <v>74</v>
      </c>
      <c r="C17" s="2" t="s">
        <v>75</v>
      </c>
      <c r="D17" s="2" t="s">
        <v>76</v>
      </c>
      <c r="E17" s="2" t="s">
        <v>84</v>
      </c>
      <c r="F17" s="3" t="s">
        <v>85</v>
      </c>
      <c r="G17" s="2" t="s">
        <v>46</v>
      </c>
      <c r="H17" s="3" t="s">
        <v>19</v>
      </c>
      <c r="I17" s="4" t="n">
        <v>46317</v>
      </c>
      <c r="J17" s="3" t="s">
        <v>25</v>
      </c>
      <c r="K17" s="2" t="s">
        <v>79</v>
      </c>
      <c r="L17" s="2"/>
    </row>
    <row r="18" customFormat="false" ht="23.85" hidden="false" customHeight="false" outlineLevel="0" collapsed="false">
      <c r="A18" s="2" t="s">
        <v>86</v>
      </c>
      <c r="B18" s="2" t="s">
        <v>74</v>
      </c>
      <c r="C18" s="2" t="s">
        <v>75</v>
      </c>
      <c r="D18" s="2" t="s">
        <v>76</v>
      </c>
      <c r="E18" s="2" t="s">
        <v>87</v>
      </c>
      <c r="F18" s="3" t="s">
        <v>45</v>
      </c>
      <c r="G18" s="2" t="s">
        <v>46</v>
      </c>
      <c r="H18" s="3" t="s">
        <v>19</v>
      </c>
      <c r="I18" s="4" t="n">
        <v>46318</v>
      </c>
      <c r="J18" s="3" t="s">
        <v>25</v>
      </c>
      <c r="K18" s="2" t="s">
        <v>83</v>
      </c>
      <c r="L18" s="2" t="s">
        <v>88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75</v>
      </c>
      <c r="D19" s="2" t="s">
        <v>91</v>
      </c>
      <c r="E19" s="2" t="s">
        <v>92</v>
      </c>
      <c r="F19" s="3" t="s">
        <v>93</v>
      </c>
      <c r="G19" s="2" t="s">
        <v>18</v>
      </c>
      <c r="H19" s="3" t="s">
        <v>19</v>
      </c>
      <c r="I19" s="4" t="n">
        <v>46322</v>
      </c>
      <c r="J19" s="3" t="s">
        <v>25</v>
      </c>
      <c r="K19" s="2"/>
      <c r="L19" s="2" t="s">
        <v>94</v>
      </c>
    </row>
    <row r="20" customFormat="false" ht="23.85" hidden="false" customHeight="false" outlineLevel="0" collapsed="false">
      <c r="A20" s="2" t="s">
        <v>95</v>
      </c>
      <c r="B20" s="2" t="s">
        <v>96</v>
      </c>
      <c r="C20" s="2" t="s">
        <v>75</v>
      </c>
      <c r="D20" s="2" t="s">
        <v>76</v>
      </c>
      <c r="E20" s="2" t="s">
        <v>97</v>
      </c>
      <c r="F20" s="3" t="s">
        <v>93</v>
      </c>
      <c r="G20" s="2" t="s">
        <v>18</v>
      </c>
      <c r="H20" s="3" t="s">
        <v>19</v>
      </c>
      <c r="I20" s="4" t="n">
        <v>46330</v>
      </c>
      <c r="J20" s="3" t="s">
        <v>25</v>
      </c>
      <c r="K20" s="2" t="s">
        <v>98</v>
      </c>
      <c r="L20" s="2"/>
    </row>
    <row r="21" customFormat="false" ht="23.85" hidden="false" customHeight="false" outlineLevel="0" collapsed="false">
      <c r="A21" s="2" t="s">
        <v>99</v>
      </c>
      <c r="B21" s="2" t="s">
        <v>29</v>
      </c>
      <c r="C21" s="2" t="s">
        <v>100</v>
      </c>
      <c r="D21" s="2" t="s">
        <v>43</v>
      </c>
      <c r="E21" s="2" t="s">
        <v>101</v>
      </c>
      <c r="F21" s="3" t="s">
        <v>93</v>
      </c>
      <c r="G21" s="2" t="s">
        <v>18</v>
      </c>
      <c r="H21" s="3" t="s">
        <v>19</v>
      </c>
      <c r="I21" s="4" t="n">
        <v>46325</v>
      </c>
      <c r="J21" s="3" t="s">
        <v>25</v>
      </c>
      <c r="K21" s="2" t="s">
        <v>22</v>
      </c>
      <c r="L21" s="2"/>
    </row>
    <row r="22" customFormat="false" ht="35.05" hidden="false" customHeight="false" outlineLevel="0" collapsed="false">
      <c r="A22" s="2" t="s">
        <v>102</v>
      </c>
      <c r="B22" s="2" t="s">
        <v>90</v>
      </c>
      <c r="C22" s="2" t="s">
        <v>100</v>
      </c>
      <c r="D22" s="2" t="s">
        <v>103</v>
      </c>
      <c r="E22" s="2" t="s">
        <v>104</v>
      </c>
      <c r="F22" s="3" t="s">
        <v>93</v>
      </c>
      <c r="G22" s="2" t="s">
        <v>18</v>
      </c>
      <c r="H22" s="3" t="s">
        <v>19</v>
      </c>
      <c r="I22" s="4" t="n">
        <v>46323</v>
      </c>
      <c r="J22" s="3" t="s">
        <v>25</v>
      </c>
      <c r="K22" s="2" t="s">
        <v>105</v>
      </c>
      <c r="L22" s="2"/>
    </row>
    <row r="23" customFormat="false" ht="35.05" hidden="false" customHeight="false" outlineLevel="0" collapsed="false">
      <c r="A23" s="2" t="s">
        <v>106</v>
      </c>
      <c r="B23" s="2" t="s">
        <v>96</v>
      </c>
      <c r="C23" s="2" t="s">
        <v>100</v>
      </c>
      <c r="D23" s="2" t="s">
        <v>70</v>
      </c>
      <c r="E23" s="2" t="s">
        <v>107</v>
      </c>
      <c r="F23" s="3" t="s">
        <v>93</v>
      </c>
      <c r="G23" s="2" t="s">
        <v>18</v>
      </c>
      <c r="H23" s="3" t="s">
        <v>19</v>
      </c>
      <c r="I23" s="4" t="n">
        <v>46330</v>
      </c>
      <c r="J23" s="3" t="s">
        <v>25</v>
      </c>
      <c r="K23" s="2" t="s">
        <v>108</v>
      </c>
      <c r="L23" s="2"/>
    </row>
    <row r="24" customFormat="false" ht="23.85" hidden="false" customHeight="false" outlineLevel="0" collapsed="false">
      <c r="A24" s="2" t="s">
        <v>109</v>
      </c>
      <c r="B24" s="2" t="s">
        <v>110</v>
      </c>
      <c r="C24" s="2" t="s">
        <v>100</v>
      </c>
      <c r="D24" s="2" t="s">
        <v>111</v>
      </c>
      <c r="E24" s="2" t="s">
        <v>112</v>
      </c>
      <c r="F24" s="3" t="s">
        <v>93</v>
      </c>
      <c r="G24" s="2" t="s">
        <v>18</v>
      </c>
      <c r="H24" s="3" t="s">
        <v>19</v>
      </c>
      <c r="I24" s="4" t="n">
        <v>46336</v>
      </c>
      <c r="J24" s="3" t="s">
        <v>25</v>
      </c>
      <c r="K24" s="2" t="s">
        <v>113</v>
      </c>
      <c r="L24" s="2" t="s">
        <v>114</v>
      </c>
    </row>
    <row r="25" customFormat="false" ht="15" hidden="false" customHeight="false" outlineLevel="0" collapsed="false">
      <c r="A25" s="2" t="s">
        <v>115</v>
      </c>
      <c r="B25" s="2" t="s">
        <v>110</v>
      </c>
      <c r="C25" s="2" t="s">
        <v>100</v>
      </c>
      <c r="D25" s="2" t="s">
        <v>116</v>
      </c>
      <c r="E25" s="2" t="s">
        <v>117</v>
      </c>
      <c r="F25" s="3" t="s">
        <v>93</v>
      </c>
      <c r="G25" s="2" t="s">
        <v>18</v>
      </c>
      <c r="H25" s="3" t="s">
        <v>19</v>
      </c>
      <c r="I25" s="4" t="n">
        <v>46336</v>
      </c>
      <c r="J25" s="3" t="s">
        <v>25</v>
      </c>
      <c r="K25" s="2" t="s">
        <v>118</v>
      </c>
      <c r="L25" s="2"/>
    </row>
    <row r="26" customFormat="false" ht="15" hidden="false" customHeight="false" outlineLevel="0" collapsed="false">
      <c r="A26" s="2" t="s">
        <v>119</v>
      </c>
      <c r="B26" s="2" t="s">
        <v>23</v>
      </c>
      <c r="C26" s="2" t="s">
        <v>100</v>
      </c>
      <c r="D26" s="2" t="s">
        <v>15</v>
      </c>
      <c r="E26" s="2" t="s">
        <v>120</v>
      </c>
      <c r="F26" s="3" t="s">
        <v>93</v>
      </c>
      <c r="G26" s="2" t="s">
        <v>18</v>
      </c>
      <c r="H26" s="3" t="s">
        <v>19</v>
      </c>
      <c r="I26" s="4" t="n">
        <v>46323</v>
      </c>
      <c r="J26" s="3" t="s">
        <v>25</v>
      </c>
      <c r="K26" s="2" t="s">
        <v>121</v>
      </c>
      <c r="L26" s="2"/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100</v>
      </c>
      <c r="D27" s="2" t="s">
        <v>76</v>
      </c>
      <c r="E27" s="2" t="s">
        <v>124</v>
      </c>
      <c r="F27" s="3" t="s">
        <v>93</v>
      </c>
      <c r="G27" s="2" t="s">
        <v>18</v>
      </c>
      <c r="H27" s="3" t="s">
        <v>19</v>
      </c>
      <c r="I27" s="4" t="n">
        <v>46338</v>
      </c>
      <c r="J27" s="3" t="s">
        <v>25</v>
      </c>
      <c r="K27" s="2" t="s">
        <v>125</v>
      </c>
      <c r="L27" s="2"/>
    </row>
    <row r="28" customFormat="false" ht="23.85" hidden="false" customHeight="false" outlineLevel="0" collapsed="false">
      <c r="A28" s="2" t="s">
        <v>126</v>
      </c>
      <c r="B28" s="2" t="s">
        <v>123</v>
      </c>
      <c r="C28" s="2" t="s">
        <v>100</v>
      </c>
      <c r="D28" s="2" t="s">
        <v>111</v>
      </c>
      <c r="E28" s="2" t="s">
        <v>127</v>
      </c>
      <c r="F28" s="3" t="s">
        <v>93</v>
      </c>
      <c r="G28" s="2" t="s">
        <v>18</v>
      </c>
      <c r="H28" s="3" t="s">
        <v>47</v>
      </c>
      <c r="I28" s="4" t="s">
        <v>48</v>
      </c>
      <c r="J28" s="3" t="s">
        <v>25</v>
      </c>
      <c r="K28" s="2" t="s">
        <v>109</v>
      </c>
      <c r="L28" s="2" t="s">
        <v>128</v>
      </c>
    </row>
    <row r="29" customFormat="false" ht="15" hidden="false" customHeight="false" outlineLevel="0" collapsed="false">
      <c r="A29" s="2" t="s">
        <v>129</v>
      </c>
      <c r="B29" s="2" t="s">
        <v>110</v>
      </c>
      <c r="C29" s="2" t="s">
        <v>100</v>
      </c>
      <c r="D29" s="2" t="s">
        <v>111</v>
      </c>
      <c r="E29" s="2" t="s">
        <v>130</v>
      </c>
      <c r="F29" s="3" t="s">
        <v>93</v>
      </c>
      <c r="G29" s="2" t="s">
        <v>18</v>
      </c>
      <c r="H29" s="3" t="s">
        <v>47</v>
      </c>
      <c r="I29" s="4" t="s">
        <v>48</v>
      </c>
      <c r="J29" s="3" t="s">
        <v>25</v>
      </c>
      <c r="K29" s="2" t="s">
        <v>109</v>
      </c>
      <c r="L29" s="2" t="s">
        <v>131</v>
      </c>
    </row>
    <row r="30" customFormat="false" ht="23.85" hidden="false" customHeight="false" outlineLevel="0" collapsed="false">
      <c r="A30" s="2" t="s">
        <v>113</v>
      </c>
      <c r="B30" s="2" t="s">
        <v>132</v>
      </c>
      <c r="C30" s="2" t="s">
        <v>133</v>
      </c>
      <c r="D30" s="2" t="s">
        <v>134</v>
      </c>
      <c r="E30" s="2" t="s">
        <v>135</v>
      </c>
      <c r="F30" s="3" t="s">
        <v>136</v>
      </c>
      <c r="G30" s="2" t="s">
        <v>35</v>
      </c>
      <c r="H30" s="3" t="s">
        <v>19</v>
      </c>
      <c r="I30" s="4" t="n">
        <v>46332</v>
      </c>
      <c r="J30" s="3" t="s">
        <v>25</v>
      </c>
      <c r="K30" s="2" t="s">
        <v>26</v>
      </c>
      <c r="L30" s="2" t="s">
        <v>137</v>
      </c>
    </row>
    <row r="31" customFormat="false" ht="23.85" hidden="false" customHeight="false" outlineLevel="0" collapsed="false">
      <c r="A31" s="2" t="s">
        <v>138</v>
      </c>
      <c r="B31" s="2" t="s">
        <v>132</v>
      </c>
      <c r="C31" s="2" t="s">
        <v>133</v>
      </c>
      <c r="D31" s="2" t="s">
        <v>111</v>
      </c>
      <c r="E31" s="2" t="s">
        <v>139</v>
      </c>
      <c r="F31" s="3" t="s">
        <v>17</v>
      </c>
      <c r="G31" s="2" t="s">
        <v>18</v>
      </c>
      <c r="H31" s="3" t="s">
        <v>47</v>
      </c>
      <c r="I31" s="4" t="n">
        <v>46325</v>
      </c>
      <c r="J31" s="3" t="s">
        <v>25</v>
      </c>
      <c r="K31" s="2"/>
      <c r="L31" s="2"/>
    </row>
    <row r="32" customFormat="false" ht="15" hidden="false" customHeight="false" outlineLevel="0" collapsed="false">
      <c r="A32" s="2" t="s">
        <v>140</v>
      </c>
      <c r="B32" s="2" t="s">
        <v>132</v>
      </c>
      <c r="C32" s="2" t="s">
        <v>133</v>
      </c>
      <c r="D32" s="2" t="s">
        <v>134</v>
      </c>
      <c r="E32" s="2" t="s">
        <v>141</v>
      </c>
      <c r="F32" s="3" t="s">
        <v>142</v>
      </c>
      <c r="G32" s="2" t="s">
        <v>46</v>
      </c>
      <c r="H32" s="3" t="s">
        <v>19</v>
      </c>
      <c r="I32" s="4" t="n">
        <v>46325</v>
      </c>
      <c r="J32" s="3" t="s">
        <v>25</v>
      </c>
      <c r="K32" s="2"/>
      <c r="L32" s="2" t="s">
        <v>143</v>
      </c>
    </row>
    <row r="33" customFormat="false" ht="15" hidden="false" customHeight="false" outlineLevel="0" collapsed="false">
      <c r="A33" s="2" t="s">
        <v>144</v>
      </c>
      <c r="B33" s="2" t="s">
        <v>132</v>
      </c>
      <c r="C33" s="2" t="s">
        <v>133</v>
      </c>
      <c r="D33" s="2" t="s">
        <v>116</v>
      </c>
      <c r="E33" s="2" t="s">
        <v>145</v>
      </c>
      <c r="F33" s="3" t="s">
        <v>67</v>
      </c>
      <c r="G33" s="2" t="s">
        <v>46</v>
      </c>
      <c r="H33" s="3" t="s">
        <v>19</v>
      </c>
      <c r="I33" s="4" t="s">
        <v>48</v>
      </c>
      <c r="J33" s="3" t="s">
        <v>25</v>
      </c>
      <c r="K33" s="2"/>
      <c r="L33" s="2" t="s">
        <v>146</v>
      </c>
    </row>
    <row r="34" customFormat="false" ht="15" hidden="false" customHeight="false" outlineLevel="0" collapsed="false">
      <c r="A34" s="2" t="s">
        <v>147</v>
      </c>
      <c r="B34" s="2" t="s">
        <v>110</v>
      </c>
      <c r="C34" s="2" t="s">
        <v>133</v>
      </c>
      <c r="D34" s="2" t="s">
        <v>111</v>
      </c>
      <c r="E34" s="2" t="s">
        <v>148</v>
      </c>
      <c r="F34" s="3" t="s">
        <v>17</v>
      </c>
      <c r="G34" s="2" t="s">
        <v>18</v>
      </c>
      <c r="H34" s="3" t="s">
        <v>19</v>
      </c>
      <c r="I34" s="4" t="n">
        <v>46316</v>
      </c>
      <c r="J34" s="3" t="s">
        <v>25</v>
      </c>
      <c r="K34" s="2"/>
      <c r="L34" s="2"/>
    </row>
    <row r="35" customFormat="false" ht="15" hidden="false" customHeight="false" outlineLevel="0" collapsed="false">
      <c r="A35" s="2" t="s">
        <v>149</v>
      </c>
      <c r="B35" s="2" t="s">
        <v>132</v>
      </c>
      <c r="C35" s="2" t="s">
        <v>133</v>
      </c>
      <c r="D35" s="2" t="s">
        <v>111</v>
      </c>
      <c r="E35" s="2" t="s">
        <v>150</v>
      </c>
      <c r="F35" s="3" t="s">
        <v>45</v>
      </c>
      <c r="G35" s="2" t="s">
        <v>46</v>
      </c>
      <c r="H35" s="3" t="s">
        <v>47</v>
      </c>
      <c r="I35" s="4" t="n">
        <v>46318</v>
      </c>
      <c r="J35" s="3" t="s">
        <v>25</v>
      </c>
      <c r="K35" s="2"/>
      <c r="L35" s="2"/>
    </row>
    <row r="36" customFormat="false" ht="23.85" hidden="false" customHeight="false" outlineLevel="0" collapsed="false">
      <c r="A36" s="2" t="s">
        <v>151</v>
      </c>
      <c r="B36" s="2" t="s">
        <v>123</v>
      </c>
      <c r="C36" s="2" t="s">
        <v>133</v>
      </c>
      <c r="D36" s="2" t="s">
        <v>111</v>
      </c>
      <c r="E36" s="2" t="s">
        <v>152</v>
      </c>
      <c r="F36" s="3" t="s">
        <v>17</v>
      </c>
      <c r="G36" s="2" t="s">
        <v>18</v>
      </c>
      <c r="H36" s="3" t="s">
        <v>47</v>
      </c>
      <c r="I36" s="4" t="n">
        <v>46318</v>
      </c>
      <c r="J36" s="3" t="s">
        <v>25</v>
      </c>
      <c r="K36" s="2"/>
      <c r="L36" s="2"/>
    </row>
    <row r="37" customFormat="false" ht="23.85" hidden="false" customHeight="false" outlineLevel="0" collapsed="false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157</v>
      </c>
      <c r="F37" s="3" t="s">
        <v>158</v>
      </c>
      <c r="G37" s="2" t="s">
        <v>159</v>
      </c>
      <c r="H37" s="3" t="s">
        <v>19</v>
      </c>
      <c r="I37" s="4" t="n">
        <v>46340</v>
      </c>
      <c r="J37" s="3" t="s">
        <v>25</v>
      </c>
      <c r="K37" s="2"/>
      <c r="L37" s="2" t="s">
        <v>160</v>
      </c>
    </row>
    <row r="38" customFormat="false" ht="15" hidden="false" customHeight="false" outlineLevel="0" collapsed="false">
      <c r="A38" s="2" t="s">
        <v>161</v>
      </c>
      <c r="B38" s="2" t="s">
        <v>154</v>
      </c>
      <c r="C38" s="2" t="s">
        <v>155</v>
      </c>
      <c r="D38" s="2" t="s">
        <v>156</v>
      </c>
      <c r="E38" s="2" t="s">
        <v>162</v>
      </c>
      <c r="F38" s="3" t="s">
        <v>163</v>
      </c>
      <c r="G38" s="2" t="s">
        <v>164</v>
      </c>
      <c r="H38" s="3" t="s">
        <v>19</v>
      </c>
      <c r="I38" s="4" t="s">
        <v>48</v>
      </c>
      <c r="J38" s="3" t="s">
        <v>25</v>
      </c>
      <c r="K38" s="2"/>
      <c r="L38" s="2"/>
    </row>
    <row r="39" customFormat="false" ht="23.85" hidden="false" customHeight="false" outlineLevel="0" collapsed="false">
      <c r="A39" s="2" t="s">
        <v>165</v>
      </c>
      <c r="B39" s="2" t="s">
        <v>166</v>
      </c>
      <c r="C39" s="2" t="s">
        <v>155</v>
      </c>
      <c r="D39" s="2" t="s">
        <v>15</v>
      </c>
      <c r="E39" s="2" t="s">
        <v>167</v>
      </c>
      <c r="F39" s="3" t="s">
        <v>168</v>
      </c>
      <c r="G39" s="2" t="s">
        <v>46</v>
      </c>
      <c r="H39" s="3" t="s">
        <v>19</v>
      </c>
      <c r="I39" s="4" t="n">
        <v>46338</v>
      </c>
      <c r="J39" s="3" t="s">
        <v>25</v>
      </c>
      <c r="K39" s="2"/>
      <c r="L39" s="2" t="s">
        <v>169</v>
      </c>
    </row>
    <row r="40" customFormat="false" ht="23.85" hidden="false" customHeight="false" outlineLevel="0" collapsed="false">
      <c r="A40" s="2" t="s">
        <v>170</v>
      </c>
      <c r="B40" s="2" t="s">
        <v>171</v>
      </c>
      <c r="C40" s="2" t="s">
        <v>155</v>
      </c>
      <c r="D40" s="2" t="s">
        <v>15</v>
      </c>
      <c r="E40" s="2" t="s">
        <v>172</v>
      </c>
      <c r="F40" s="3" t="s">
        <v>173</v>
      </c>
      <c r="G40" s="2" t="s">
        <v>46</v>
      </c>
      <c r="H40" s="3" t="s">
        <v>19</v>
      </c>
      <c r="I40" s="4" t="n">
        <v>46336</v>
      </c>
      <c r="J40" s="3" t="s">
        <v>25</v>
      </c>
      <c r="K40" s="2" t="s">
        <v>32</v>
      </c>
      <c r="L40" s="2"/>
    </row>
    <row r="41" customFormat="false" ht="23.85" hidden="false" customHeight="false" outlineLevel="0" collapsed="false">
      <c r="A41" s="2" t="s">
        <v>174</v>
      </c>
      <c r="B41" s="2" t="s">
        <v>175</v>
      </c>
      <c r="C41" s="2" t="s">
        <v>155</v>
      </c>
      <c r="D41" s="2" t="s">
        <v>156</v>
      </c>
      <c r="E41" s="2" t="s">
        <v>176</v>
      </c>
      <c r="F41" s="3" t="s">
        <v>34</v>
      </c>
      <c r="G41" s="2" t="s">
        <v>35</v>
      </c>
      <c r="H41" s="3" t="s">
        <v>19</v>
      </c>
      <c r="I41" s="4" t="n">
        <v>46344</v>
      </c>
      <c r="J41" s="3" t="s">
        <v>25</v>
      </c>
      <c r="K41" s="2" t="s">
        <v>153</v>
      </c>
      <c r="L41" s="2"/>
    </row>
    <row r="42" customFormat="false" ht="35.05" hidden="false" customHeight="false" outlineLevel="0" collapsed="false">
      <c r="A42" s="2" t="s">
        <v>177</v>
      </c>
      <c r="B42" s="2" t="s">
        <v>178</v>
      </c>
      <c r="C42" s="2" t="s">
        <v>155</v>
      </c>
      <c r="D42" s="2" t="s">
        <v>15</v>
      </c>
      <c r="E42" s="2" t="s">
        <v>179</v>
      </c>
      <c r="F42" s="3" t="s">
        <v>180</v>
      </c>
      <c r="G42" s="2" t="s">
        <v>181</v>
      </c>
      <c r="H42" s="3" t="s">
        <v>19</v>
      </c>
      <c r="I42" s="4" t="n">
        <v>46348</v>
      </c>
      <c r="J42" s="3" t="s">
        <v>25</v>
      </c>
      <c r="K42" s="2" t="s">
        <v>182</v>
      </c>
      <c r="L42" s="2"/>
    </row>
    <row r="43" customFormat="false" ht="35.05" hidden="false" customHeight="false" outlineLevel="0" collapsed="false">
      <c r="A43" s="2" t="s">
        <v>183</v>
      </c>
      <c r="B43" s="2" t="s">
        <v>184</v>
      </c>
      <c r="C43" s="2" t="s">
        <v>155</v>
      </c>
      <c r="D43" s="2" t="s">
        <v>15</v>
      </c>
      <c r="E43" s="2" t="s">
        <v>185</v>
      </c>
      <c r="F43" s="3" t="s">
        <v>186</v>
      </c>
      <c r="G43" s="2" t="s">
        <v>187</v>
      </c>
      <c r="H43" s="3" t="s">
        <v>19</v>
      </c>
      <c r="I43" s="4" t="n">
        <v>46351</v>
      </c>
      <c r="J43" s="3" t="s">
        <v>25</v>
      </c>
      <c r="K43" s="2" t="s">
        <v>177</v>
      </c>
      <c r="L43" s="2"/>
    </row>
  </sheetData>
  <autoFilter ref="A1:L43"/>
  <dataValidations count="2">
    <dataValidation allowBlank="true" errorStyle="stop" operator="between" showDropDown="false" showErrorMessage="false" showInputMessage="false" sqref="J2:J43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H2:H43" type="list">
      <formula1>"Critical path,Nice to 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5" t="s">
        <v>188</v>
      </c>
      <c r="B1" s="6" t="n">
        <v>46356</v>
      </c>
    </row>
    <row r="3" customFormat="false" ht="15" hidden="false" customHeight="false" outlineLevel="0" collapsed="false">
      <c r="A3" s="5" t="s">
        <v>189</v>
      </c>
    </row>
    <row r="4" customFormat="false" ht="15" hidden="false" customHeight="false" outlineLevel="0" collapsed="false">
      <c r="A4" s="7" t="s">
        <v>5</v>
      </c>
      <c r="B4" s="7" t="s">
        <v>190</v>
      </c>
      <c r="C4" s="7" t="s">
        <v>25</v>
      </c>
      <c r="D4" s="7" t="s">
        <v>20</v>
      </c>
      <c r="E4" s="7" t="s">
        <v>191</v>
      </c>
      <c r="F4" s="7" t="s">
        <v>192</v>
      </c>
      <c r="G4" s="7" t="s">
        <v>19</v>
      </c>
    </row>
    <row r="5" customFormat="false" ht="15" hidden="false" customHeight="false" outlineLevel="0" collapsed="false">
      <c r="A5" s="8" t="s">
        <v>17</v>
      </c>
      <c r="B5" s="8" t="n">
        <f aca="false">COUNTIF(Tasks!$F:$F,"*RM*")</f>
        <v>12</v>
      </c>
      <c r="C5" s="8" t="n">
        <f aca="false">COUNTIFS(Tasks!$F:$F,"*RM*",Tasks!$J:$J,"Not started")</f>
        <v>11</v>
      </c>
      <c r="D5" s="8" t="n">
        <f aca="false">COUNTIFS(Tasks!$F:$F,"*RM*",Tasks!$J:$J,"In progress")</f>
        <v>1</v>
      </c>
      <c r="E5" s="8" t="n">
        <f aca="false">COUNTIFS(Tasks!$F:$F,"*RM*",Tasks!$J:$J,"Blocked")</f>
        <v>0</v>
      </c>
      <c r="F5" s="8" t="n">
        <f aca="false">COUNTIFS(Tasks!$F:$F,"*RM*",Tasks!$J:$J,"Done")</f>
        <v>0</v>
      </c>
      <c r="G5" s="8" t="n">
        <f aca="false">COUNTIFS(Tasks!$F:$F,"*RM*",Tasks!$H:$H,"Critical path")</f>
        <v>10</v>
      </c>
    </row>
    <row r="6" customFormat="false" ht="15" hidden="false" customHeight="false" outlineLevel="0" collapsed="false">
      <c r="A6" s="8" t="s">
        <v>53</v>
      </c>
      <c r="B6" s="8" t="n">
        <f aca="false">COUNTIF(Tasks!$F:$F,"*RR*")</f>
        <v>6</v>
      </c>
      <c r="C6" s="8" t="n">
        <f aca="false">COUNTIFS(Tasks!$F:$F,"*RR*",Tasks!$J:$J,"Not started")</f>
        <v>5</v>
      </c>
      <c r="D6" s="8" t="n">
        <f aca="false">COUNTIFS(Tasks!$F:$F,"*RR*",Tasks!$J:$J,"In progress")</f>
        <v>1</v>
      </c>
      <c r="E6" s="8" t="n">
        <f aca="false">COUNTIFS(Tasks!$F:$F,"*RR*",Tasks!$J:$J,"Blocked")</f>
        <v>0</v>
      </c>
      <c r="F6" s="8" t="n">
        <f aca="false">COUNTIFS(Tasks!$F:$F,"*RR*",Tasks!$J:$J,"Done")</f>
        <v>0</v>
      </c>
      <c r="G6" s="8" t="n">
        <f aca="false">COUNTIFS(Tasks!$F:$F,"*RR*",Tasks!$H:$H,"Critical path")</f>
        <v>6</v>
      </c>
    </row>
    <row r="7" customFormat="false" ht="15" hidden="false" customHeight="false" outlineLevel="0" collapsed="false">
      <c r="A7" s="8" t="s">
        <v>45</v>
      </c>
      <c r="B7" s="8" t="n">
        <f aca="false">COUNTIF(Tasks!$F:$F,"*CL*")</f>
        <v>16</v>
      </c>
      <c r="C7" s="8" t="n">
        <f aca="false">COUNTIFS(Tasks!$F:$F,"*CL*",Tasks!$J:$J,"Not started")</f>
        <v>15</v>
      </c>
      <c r="D7" s="8" t="n">
        <f aca="false">COUNTIFS(Tasks!$F:$F,"*CL*",Tasks!$J:$J,"In progress")</f>
        <v>1</v>
      </c>
      <c r="E7" s="8" t="n">
        <f aca="false">COUNTIFS(Tasks!$F:$F,"*CL*",Tasks!$J:$J,"Blocked")</f>
        <v>0</v>
      </c>
      <c r="F7" s="8" t="n">
        <f aca="false">COUNTIFS(Tasks!$F:$F,"*CL*",Tasks!$J:$J,"Done")</f>
        <v>0</v>
      </c>
      <c r="G7" s="8" t="n">
        <f aca="false">COUNTIFS(Tasks!$F:$F,"*CL*",Tasks!$H:$H,"Critical path")</f>
        <v>13</v>
      </c>
    </row>
    <row r="8" customFormat="false" ht="15" hidden="false" customHeight="false" outlineLevel="0" collapsed="false">
      <c r="A8" s="8" t="s">
        <v>85</v>
      </c>
      <c r="B8" s="8" t="n">
        <f aca="false">COUNTIF(Tasks!$F:$F,"*JCT*")</f>
        <v>3</v>
      </c>
      <c r="C8" s="8" t="n">
        <f aca="false">COUNTIFS(Tasks!$F:$F,"*JCT*",Tasks!$J:$J,"Not started")</f>
        <v>3</v>
      </c>
      <c r="D8" s="8" t="n">
        <f aca="false">COUNTIFS(Tasks!$F:$F,"*JCT*",Tasks!$J:$J,"In progress")</f>
        <v>0</v>
      </c>
      <c r="E8" s="8" t="n">
        <f aca="false">COUNTIFS(Tasks!$F:$F,"*JCT*",Tasks!$J:$J,"Blocked")</f>
        <v>0</v>
      </c>
      <c r="F8" s="8" t="n">
        <f aca="false">COUNTIFS(Tasks!$F:$F,"*JCT*",Tasks!$J:$J,"Done")</f>
        <v>0</v>
      </c>
      <c r="G8" s="8" t="n">
        <f aca="false">COUNTIFS(Tasks!$F:$F,"*JCT*",Tasks!$H:$H,"Critical path")</f>
        <v>3</v>
      </c>
    </row>
    <row r="9" customFormat="false" ht="15" hidden="false" customHeight="false" outlineLevel="0" collapsed="false">
      <c r="A9" s="8" t="s">
        <v>163</v>
      </c>
      <c r="B9" s="8" t="n">
        <f aca="false">COUNTIF(Tasks!$F:$F,"*FH*")</f>
        <v>5</v>
      </c>
      <c r="C9" s="8" t="n">
        <f aca="false">COUNTIFS(Tasks!$F:$F,"*FH*",Tasks!$J:$J,"Not started")</f>
        <v>4</v>
      </c>
      <c r="D9" s="8" t="n">
        <f aca="false">COUNTIFS(Tasks!$F:$F,"*FH*",Tasks!$J:$J,"In progress")</f>
        <v>1</v>
      </c>
      <c r="E9" s="8" t="n">
        <f aca="false">COUNTIFS(Tasks!$F:$F,"*FH*",Tasks!$J:$J,"Blocked")</f>
        <v>0</v>
      </c>
      <c r="F9" s="8" t="n">
        <f aca="false">COUNTIFS(Tasks!$F:$F,"*FH*",Tasks!$J:$J,"Done")</f>
        <v>0</v>
      </c>
      <c r="G9" s="8" t="n">
        <f aca="false">COUNTIFS(Tasks!$F:$F,"*FH*",Tasks!$H:$H,"Critical path")</f>
        <v>5</v>
      </c>
    </row>
    <row r="10" customFormat="false" ht="15" hidden="false" customHeight="false" outlineLevel="0" collapsed="false">
      <c r="A10" s="8" t="s">
        <v>93</v>
      </c>
      <c r="B10" s="8" t="n">
        <f aca="false">COUNTIF(Tasks!$F:$F,"*Nawi eng*")</f>
        <v>12</v>
      </c>
      <c r="C10" s="8" t="n">
        <f aca="false">COUNTIFS(Tasks!$F:$F,"*Nawi eng*",Tasks!$J:$J,"Not started")</f>
        <v>12</v>
      </c>
      <c r="D10" s="8" t="n">
        <f aca="false">COUNTIFS(Tasks!$F:$F,"*Nawi eng*",Tasks!$J:$J,"In progress")</f>
        <v>0</v>
      </c>
      <c r="E10" s="8" t="n">
        <f aca="false">COUNTIFS(Tasks!$F:$F,"*Nawi eng*",Tasks!$J:$J,"Blocked")</f>
        <v>0</v>
      </c>
      <c r="F10" s="8" t="n">
        <f aca="false">COUNTIFS(Tasks!$F:$F,"*Nawi eng*",Tasks!$J:$J,"Done")</f>
        <v>0</v>
      </c>
      <c r="G10" s="8" t="n">
        <f aca="false">COUNTIFS(Tasks!$F:$F,"*Nawi eng*",Tasks!$H:$H,"Critical path")</f>
        <v>10</v>
      </c>
    </row>
    <row r="11" customFormat="false" ht="15" hidden="false" customHeight="false" outlineLevel="0" collapsed="false">
      <c r="A11" s="8" t="s">
        <v>193</v>
      </c>
      <c r="B11" s="8" t="n">
        <f aca="false">COUNTIFS(Tasks!$G:$G,"WHO",Tasks!$F:$F,"GM / DW / AM")</f>
        <v>1</v>
      </c>
      <c r="C11" s="8" t="n">
        <f aca="false">COUNTIFS(Tasks!$G:$G,"WHO",Tasks!$F:$F,"GM / DW / AM",Tasks!$J:$J,"Not started")</f>
        <v>1</v>
      </c>
      <c r="D11" s="8" t="n">
        <f aca="false">COUNTIFS(Tasks!$G:$G,"WHO",Tasks!$F:$F,"GM / DW / AM",Tasks!$J:$J,"In progress")</f>
        <v>0</v>
      </c>
      <c r="E11" s="8" t="n">
        <f aca="false">COUNTIFS(Tasks!$G:$G,"WHO",Tasks!$F:$F,"GM / DW / AM",Tasks!$J:$J,"Blocked")</f>
        <v>0</v>
      </c>
      <c r="F11" s="8" t="n">
        <f aca="false">COUNTIFS(Tasks!$G:$G,"WHO",Tasks!$F:$F,"GM / DW / AM",Tasks!$J:$J,"Done")</f>
        <v>0</v>
      </c>
      <c r="G11" s="8" t="n">
        <f aca="false">COUNTIFS(Tasks!$G:$G,"WHO",Tasks!$F:$F,"GM / DW / AM",Tasks!$H:$H,"Critical path")</f>
        <v>1</v>
      </c>
    </row>
    <row r="12" customFormat="false" ht="15" hidden="false" customHeight="false" outlineLevel="0" collapsed="false">
      <c r="A12" s="9" t="s">
        <v>194</v>
      </c>
    </row>
    <row r="14" customFormat="false" ht="15" hidden="false" customHeight="false" outlineLevel="0" collapsed="false">
      <c r="A14" s="5" t="s">
        <v>195</v>
      </c>
    </row>
    <row r="15" customFormat="false" ht="15" hidden="false" customHeight="false" outlineLevel="0" collapsed="false">
      <c r="A15" s="7" t="s">
        <v>2</v>
      </c>
      <c r="B15" s="7" t="s">
        <v>190</v>
      </c>
      <c r="C15" s="7" t="s">
        <v>192</v>
      </c>
      <c r="D15" s="7" t="s">
        <v>196</v>
      </c>
      <c r="E15" s="7" t="s">
        <v>197</v>
      </c>
    </row>
    <row r="16" customFormat="false" ht="15" hidden="false" customHeight="false" outlineLevel="0" collapsed="false">
      <c r="A16" s="8" t="s">
        <v>14</v>
      </c>
      <c r="B16" s="8" t="n">
        <f aca="false">COUNTIF(Tasks!$C:$C,"Planning &amp; documentation")</f>
        <v>6</v>
      </c>
      <c r="C16" s="8" t="n">
        <f aca="false">COUNTIFS(Tasks!$C:$C,"Planning &amp; documentation",Tasks!$J:$J,"Done")</f>
        <v>0</v>
      </c>
      <c r="D16" s="8" t="n">
        <f aca="false">B16-C16</f>
        <v>6</v>
      </c>
      <c r="E16" s="8" t="n">
        <f aca="false">COUNTIFS(Tasks!$C:$C,"Planning &amp; documentation",Tasks!$H:$H,"Critical path",Tasks!$J:$J,"&lt;&gt;Done")</f>
        <v>5</v>
      </c>
    </row>
    <row r="17" customFormat="false" ht="15" hidden="false" customHeight="false" outlineLevel="0" collapsed="false">
      <c r="A17" s="8" t="s">
        <v>50</v>
      </c>
      <c r="B17" s="8" t="n">
        <f aca="false">COUNTIF(Tasks!$C:$C,"Issuance &amp; test data")</f>
        <v>7</v>
      </c>
      <c r="C17" s="8" t="n">
        <f aca="false">COUNTIFS(Tasks!$C:$C,"Issuance &amp; test data",Tasks!$J:$J,"Done")</f>
        <v>0</v>
      </c>
      <c r="D17" s="8" t="n">
        <f aca="false">B17-C17</f>
        <v>7</v>
      </c>
      <c r="E17" s="8" t="n">
        <f aca="false">COUNTIFS(Tasks!$C:$C,"Issuance &amp; test data",Tasks!$H:$H,"Critical path",Tasks!$J:$J,"&lt;&gt;Done")</f>
        <v>6</v>
      </c>
    </row>
    <row r="18" customFormat="false" ht="15" hidden="false" customHeight="false" outlineLevel="0" collapsed="false">
      <c r="A18" s="8" t="s">
        <v>75</v>
      </c>
      <c r="B18" s="8" t="n">
        <f aca="false">COUNTIF(Tasks!$C:$C,"Verification library")</f>
        <v>6</v>
      </c>
      <c r="C18" s="8" t="n">
        <f aca="false">COUNTIFS(Tasks!$C:$C,"Verification library",Tasks!$J:$J,"Done")</f>
        <v>0</v>
      </c>
      <c r="D18" s="8" t="n">
        <f aca="false">B18-C18</f>
        <v>6</v>
      </c>
      <c r="E18" s="8" t="n">
        <f aca="false">COUNTIFS(Tasks!$C:$C,"Verification library",Tasks!$H:$H,"Critical path",Tasks!$J:$J,"&lt;&gt;Done")</f>
        <v>6</v>
      </c>
    </row>
    <row r="19" customFormat="false" ht="15" hidden="false" customHeight="false" outlineLevel="0" collapsed="false">
      <c r="A19" s="8" t="s">
        <v>100</v>
      </c>
      <c r="B19" s="8" t="n">
        <f aca="false">COUNTIF(Tasks!$C:$C,"Player configurations")</f>
        <v>9</v>
      </c>
      <c r="C19" s="8" t="n">
        <f aca="false">COUNTIFS(Tasks!$C:$C,"Player configurations",Tasks!$J:$J,"Done")</f>
        <v>0</v>
      </c>
      <c r="D19" s="8" t="n">
        <f aca="false">B19-C19</f>
        <v>9</v>
      </c>
      <c r="E19" s="8" t="n">
        <f aca="false">COUNTIFS(Tasks!$C:$C,"Player configurations",Tasks!$H:$H,"Critical path",Tasks!$J:$J,"&lt;&gt;Done")</f>
        <v>7</v>
      </c>
    </row>
    <row r="20" customFormat="false" ht="15" hidden="false" customHeight="false" outlineLevel="0" collapsed="false">
      <c r="A20" s="8" t="s">
        <v>133</v>
      </c>
      <c r="B20" s="8" t="n">
        <f aca="false">COUNTIF(Tasks!$C:$C,"VHL issuer / host")</f>
        <v>7</v>
      </c>
      <c r="C20" s="8" t="n">
        <f aca="false">COUNTIFS(Tasks!$C:$C,"VHL issuer / host",Tasks!$J:$J,"Done")</f>
        <v>0</v>
      </c>
      <c r="D20" s="8" t="n">
        <f aca="false">B20-C20</f>
        <v>7</v>
      </c>
      <c r="E20" s="8" t="n">
        <f aca="false">COUNTIFS(Tasks!$C:$C,"VHL issuer / host",Tasks!$H:$H,"Critical path",Tasks!$J:$J,"&lt;&gt;Done")</f>
        <v>4</v>
      </c>
    </row>
    <row r="21" customFormat="false" ht="15" hidden="false" customHeight="false" outlineLevel="0" collapsed="false">
      <c r="A21" s="8" t="s">
        <v>155</v>
      </c>
      <c r="B21" s="8" t="n">
        <f aca="false">COUNTIF(Tasks!$C:$C,"Workshop content")</f>
        <v>7</v>
      </c>
      <c r="C21" s="8" t="n">
        <f aca="false">COUNTIFS(Tasks!$C:$C,"Workshop content",Tasks!$J:$J,"Done")</f>
        <v>0</v>
      </c>
      <c r="D21" s="8" t="n">
        <f aca="false">B21-C21</f>
        <v>7</v>
      </c>
      <c r="E21" s="8" t="n">
        <f aca="false">COUNTIFS(Tasks!$C:$C,"Workshop content",Tasks!$H:$H,"Critical path",Tasks!$J:$J,"&lt;&gt;Done")</f>
        <v>7</v>
      </c>
    </row>
    <row r="23" customFormat="false" ht="15" hidden="false" customHeight="false" outlineLevel="0" collapsed="false">
      <c r="A23" s="5" t="s">
        <v>198</v>
      </c>
    </row>
    <row r="24" customFormat="false" ht="15" hidden="false" customHeight="false" outlineLevel="0" collapsed="false">
      <c r="A24" s="10" t="s">
        <v>199</v>
      </c>
      <c r="B24" s="11" t="n">
        <v>46318</v>
      </c>
      <c r="C24" s="10" t="n">
        <f aca="false">COUNTIFS(Tasks!$I:$I,"&lt;="&amp;B24,Tasks!$J:$J,"&lt;&gt;Done")</f>
        <v>17</v>
      </c>
    </row>
    <row r="26" customFormat="false" ht="15" hidden="false" customHeight="false" outlineLevel="0" collapsed="false">
      <c r="A26" s="5" t="s">
        <v>200</v>
      </c>
    </row>
    <row r="27" customFormat="false" ht="15" hidden="false" customHeight="false" outlineLevel="0" collapsed="false">
      <c r="A27" s="10" t="s">
        <v>201</v>
      </c>
    </row>
    <row r="28" customFormat="false" ht="15" hidden="false" customHeight="false" outlineLevel="0" collapsed="false">
      <c r="A28" s="10" t="s">
        <v>202</v>
      </c>
    </row>
    <row r="29" customFormat="false" ht="15" hidden="false" customHeight="false" outlineLevel="0" collapsed="false">
      <c r="A29" s="10" t="s">
        <v>203</v>
      </c>
    </row>
    <row r="30" customFormat="false" ht="15" hidden="false" customHeight="false" outlineLevel="0" collapsed="false">
      <c r="A30" s="1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7" t="s">
        <v>205</v>
      </c>
      <c r="B1" s="7" t="s">
        <v>206</v>
      </c>
      <c r="C1" s="7" t="s">
        <v>5</v>
      </c>
      <c r="D1" s="7" t="s">
        <v>9</v>
      </c>
    </row>
    <row r="2" customFormat="false" ht="15" hidden="false" customHeight="false" outlineLevel="0" collapsed="false">
      <c r="A2" s="12" t="n">
        <v>46314</v>
      </c>
      <c r="B2" s="2" t="s">
        <v>207</v>
      </c>
      <c r="C2" s="2" t="s">
        <v>53</v>
      </c>
      <c r="D2" s="3" t="s">
        <v>20</v>
      </c>
    </row>
    <row r="3" customFormat="false" ht="15" hidden="false" customHeight="false" outlineLevel="0" collapsed="false">
      <c r="A3" s="12" t="n">
        <v>46315</v>
      </c>
      <c r="B3" s="2" t="s">
        <v>208</v>
      </c>
      <c r="C3" s="2" t="s">
        <v>209</v>
      </c>
      <c r="D3" s="3" t="s">
        <v>20</v>
      </c>
    </row>
    <row r="4" customFormat="false" ht="15" hidden="false" customHeight="false" outlineLevel="0" collapsed="false">
      <c r="A4" s="12" t="n">
        <v>46316</v>
      </c>
      <c r="B4" s="2" t="s">
        <v>210</v>
      </c>
      <c r="C4" s="2" t="s">
        <v>15</v>
      </c>
      <c r="D4" s="3" t="s">
        <v>25</v>
      </c>
    </row>
    <row r="5" customFormat="false" ht="15" hidden="false" customHeight="false" outlineLevel="0" collapsed="false">
      <c r="A5" s="12" t="n">
        <v>46318</v>
      </c>
      <c r="B5" s="2" t="s">
        <v>211</v>
      </c>
      <c r="C5" s="2" t="s">
        <v>212</v>
      </c>
      <c r="D5" s="3" t="s">
        <v>25</v>
      </c>
    </row>
    <row r="6" customFormat="false" ht="15" hidden="false" customHeight="false" outlineLevel="0" collapsed="false">
      <c r="A6" s="12" t="n">
        <v>46323</v>
      </c>
      <c r="B6" s="2" t="s">
        <v>213</v>
      </c>
      <c r="C6" s="2" t="s">
        <v>18</v>
      </c>
      <c r="D6" s="3" t="s">
        <v>25</v>
      </c>
    </row>
    <row r="7" customFormat="false" ht="15" hidden="false" customHeight="false" outlineLevel="0" collapsed="false">
      <c r="A7" s="12" t="n">
        <v>46330</v>
      </c>
      <c r="B7" s="2" t="s">
        <v>214</v>
      </c>
      <c r="C7" s="2" t="s">
        <v>18</v>
      </c>
      <c r="D7" s="3" t="s">
        <v>25</v>
      </c>
    </row>
    <row r="8" customFormat="false" ht="15" hidden="false" customHeight="false" outlineLevel="0" collapsed="false">
      <c r="A8" s="12" t="n">
        <v>46332</v>
      </c>
      <c r="B8" s="2" t="s">
        <v>215</v>
      </c>
      <c r="C8" s="2" t="s">
        <v>216</v>
      </c>
      <c r="D8" s="3" t="s">
        <v>25</v>
      </c>
    </row>
    <row r="9" customFormat="false" ht="15" hidden="false" customHeight="false" outlineLevel="0" collapsed="false">
      <c r="A9" s="12" t="n">
        <v>46336</v>
      </c>
      <c r="B9" s="2" t="s">
        <v>217</v>
      </c>
      <c r="C9" s="2" t="s">
        <v>18</v>
      </c>
      <c r="D9" s="3" t="s">
        <v>25</v>
      </c>
    </row>
    <row r="10" customFormat="false" ht="15" hidden="false" customHeight="false" outlineLevel="0" collapsed="false">
      <c r="A10" s="12" t="n">
        <v>46340</v>
      </c>
      <c r="B10" s="2" t="s">
        <v>218</v>
      </c>
      <c r="C10" s="2" t="s">
        <v>219</v>
      </c>
      <c r="D10" s="3" t="s">
        <v>25</v>
      </c>
    </row>
    <row r="11" customFormat="false" ht="15" hidden="false" customHeight="false" outlineLevel="0" collapsed="false">
      <c r="A11" s="12" t="n">
        <v>46351</v>
      </c>
      <c r="B11" s="2" t="s">
        <v>220</v>
      </c>
      <c r="C11" s="2" t="s">
        <v>15</v>
      </c>
      <c r="D11" s="3" t="s">
        <v>25</v>
      </c>
    </row>
    <row r="12" customFormat="false" ht="15" hidden="false" customHeight="false" outlineLevel="0" collapsed="false">
      <c r="A12" s="13" t="n">
        <v>46356</v>
      </c>
      <c r="B12" s="2" t="s">
        <v>221</v>
      </c>
      <c r="C12" s="2" t="s">
        <v>15</v>
      </c>
      <c r="D12" s="3" t="s">
        <v>25</v>
      </c>
    </row>
    <row r="13" customFormat="false" ht="15" hidden="false" customHeight="false" outlineLevel="0" collapsed="false">
      <c r="A13" s="0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2026-10-19T07:07:02Z</dcterms:created>
  <dc:creator>openpyxl</dc:creator>
  <dc:description/>
  <dc:language>en-US</dc:language>
  <cp:lastModifiedBy/>
  <dcterms:modified xsi:type="dcterms:W3CDTF">2026-10-19T07:07:02Z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